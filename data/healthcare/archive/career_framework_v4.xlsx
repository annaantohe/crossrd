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1 Comparison Matrix" sheetId="1" state="visible" r:id="rId3"/>
    <sheet name="L1 Scoring Results" sheetId="2" state="visible" r:id="rId4"/>
    <sheet name="L2 Scoring Results" sheetId="3" state="visible" r:id="rId5"/>
    <sheet name="Career Tracks" sheetId="4" state="visible" r:id="rId6"/>
    <sheet name="Data Points Framework" sheetId="5" state="visible" r:id="rId7"/>
    <sheet name="Category Weights" sheetId="6" state="visible" r:id="rId8"/>
    <sheet name="Scenario Profiles" sheetId="7" state="visible" r:id="rId9"/>
    <sheet name="Execution Plan" sheetId="8" state="visible" r:id="rId10"/>
    <sheet name="Summary Stats" sheetId="9" state="visible" r:id="rId11"/>
    <sheet name="L2 Matrix — MD-DO" sheetId="10" state="visible" r:id="rId12"/>
    <sheet name="L2 Matrix — DDS-DMD" sheetId="11" state="visible" r:id="rId13"/>
    <sheet name="L2 Matrix — DPM" sheetId="12" state="visible" r:id="rId14"/>
    <sheet name="L2 Matrix — OD" sheetId="13" state="visible" r:id="rId15"/>
    <sheet name="Finals Matrix" sheetId="14" state="visible" r:id="rId16"/>
    <sheet name="Career Life Models" sheetId="15" state="visible" r:id="rId17"/>
    <sheet name="Stress Test" sheetId="16" state="visible" r:id="rId18"/>
    <sheet name="Decision Summary"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<sst xmlns="http://schemas.openxmlformats.org/spreadsheetml/2006/main" count="3606" uniqueCount="1631">
  <si>
    <t xml:space="preserve">#</t>
  </si>
  <si>
    <t xml:space="preserve">Data Point</t>
  </si>
  <si>
    <t xml:space="preserve">Type</t>
  </si>
  <si>
    <t xml:space="preserve">Weight</t>
  </si>
  <si>
    <t xml:space="preserve">MD/DO</t>
  </si>
  <si>
    <t xml:space="preserve">DDS/DMD</t>
  </si>
  <si>
    <t xml:space="preserve">DPM</t>
  </si>
  <si>
    <t xml:space="preserve">OD</t>
  </si>
  <si>
    <t xml:space="preserve">Flags / Notes</t>
  </si>
  <si>
    <t xml:space="preserve">1. PRE-PROFESSIONAL PHASE</t>
  </si>
  <si>
    <t xml:space="preserve">Required undergraduate degree or prerequisites</t>
  </si>
  <si>
    <t xml:space="preserve">Qual</t>
  </si>
  <si>
    <t xml:space="preserve">Ref</t>
  </si>
  <si>
    <t xml:space="preserve">No specific major required; heavy science prerequisites (Bio, Chem, Orgo, Physics, Biochem, Psych/Soc). Bachelor's degree expected.</t>
  </si>
  <si>
    <t xml:space="preserve">No specific major required; similar science prereqs (Bio, Chem, Orgo, Physics). Bachelor's degree expected.</t>
  </si>
  <si>
    <t xml:space="preserve">No specific major required; same pre-med science prereqs. Min 90 credits (97%+ have bachelor's).</t>
  </si>
  <si>
    <t xml:space="preserve">No specific major required; prereqs in Bio, Chem, Orgo, Physics, Math, Psych, Stats. 90 credit hrs min; some schools require bachelor's.</t>
  </si>
  <si>
    <t xml:space="preserve">Typical years of undergrad required</t>
  </si>
  <si>
    <t xml:space="preserve">Quant</t>
  </si>
  <si>
    <t xml:space="preserve">Dec</t>
  </si>
  <si>
    <t xml:space="preserve">4 years</t>
  </si>
  <si>
    <t xml:space="preserve">3-4 years (97% have 4)</t>
  </si>
  <si>
    <t xml:space="preserve">3-4 years (many enter after 3; bachelor's preferred)</t>
  </si>
  <si>
    <t xml:space="preserve">OD and DPM technically allow 3-yr entry but most do 4</t>
  </si>
  <si>
    <t xml:space="preserve">Required standardized test</t>
  </si>
  <si>
    <t xml:space="preserve">MCAT (Medical College Admission Test)</t>
  </si>
  <si>
    <t xml:space="preserve">DAT (Dental Admission Test)</t>
  </si>
  <si>
    <t xml:space="preserve">MCAT (same as MD/DO)</t>
  </si>
  <si>
    <t xml:space="preserve">OAT (Optometry Admission Test)</t>
  </si>
  <si>
    <t xml:space="preserve">DPM uses same MCAT as MD/DO; some podiatry schools accept GRE</t>
  </si>
  <si>
    <t xml:space="preserve">Test difficulty / competitive scores</t>
  </si>
  <si>
    <t xml:space="preserve">Scale</t>
  </si>
  <si>
    <t xml:space="preserve">Avg matriculant: 511-512 (MD), ~503 (DO). Scale 472-528. Very difficult; 7.5hr exam.</t>
  </si>
  <si>
    <t xml:space="preserve">Avg matriculant: ~21 AA (old scale) / ~440 (new 200-600 scale). 4.5hr exam. Moderately difficult.</t>
  </si>
  <si>
    <t xml:space="preserve">Avg matriculant MCAT: ~494-495. Well below MD/DO average. Much easier to achieve.</t>
  </si>
  <si>
    <t xml:space="preserve">Avg matriculant OAT: ~320-330 AA (scale 200-400). ~5hr exam. Moderate difficulty.</t>
  </si>
  <si>
    <t xml:space="preserve">Score = 3 (MD), 5 (DDS), 8 (DPM), 6 (OD). 10=easiest</t>
  </si>
  <si>
    <t xml:space="preserve">GPA expectations (science + cumulative)</t>
  </si>
  <si>
    <t xml:space="preserve">Avg matriculant: 3.75 cGPA, ~3.65 sGPA (MD); ~3.55/3.45 (DO)</t>
  </si>
  <si>
    <t xml:space="preserve">Avg matriculant: 3.67 cGPA, 3.59 sGPA</t>
  </si>
  <si>
    <t xml:space="preserve">Avg matriculant: ~3.30 cGPA, ~3.20 sGPA</t>
  </si>
  <si>
    <t xml:space="preserve">Avg matriculant: ~3.57 cGPA, ~3.45 sGPA</t>
  </si>
  <si>
    <t xml:space="preserve">Extracurricular expectations</t>
  </si>
  <si>
    <t xml:space="preserve">Extensive: research, clinical volunteering, shadowing, leadership, community service. Avg 709 hrs community service. Score: 2/10</t>
  </si>
  <si>
    <t xml:space="preserve">Moderate: dental shadowing (significant hours), volunteering, some research helpful. Manual dexterity activities valued. Score: 5/10</t>
  </si>
  <si>
    <t xml:space="preserve">Minimal: some shadowing with a podiatrist recommended, community service. Score: 8/10</t>
  </si>
  <si>
    <t xml:space="preserve">Moderate-Low: optometrist shadowing (10-40 hrs typically), some volunteering. Score: 7/10</t>
  </si>
  <si>
    <t xml:space="preserve">10=minimal extras needed</t>
  </si>
  <si>
    <t xml:space="preserve">Is post-baccalaureate year common/expected?</t>
  </si>
  <si>
    <t xml:space="preserve">Binary</t>
  </si>
  <si>
    <t xml:space="preserve">Yes — very common. Many do post-bacc, SMP, or 1-2 gap years. ~25% of matriculants hold master's.</t>
  </si>
  <si>
    <t xml:space="preserve">Somewhat common. Some applicants do post-bacc to boost GPA/DAT, but less prevalent than med.</t>
  </si>
  <si>
    <t xml:space="preserve">Uncommon. Most apply directly; lower bar means fewer need additional prep.</t>
  </si>
  <si>
    <t xml:space="preserve">Uncommon. Most apply during undergrad or shortly after.</t>
  </si>
  <si>
    <t xml:space="preserve">2. ADMISSIONS COMPETITIVENESS</t>
  </si>
  <si>
    <t xml:space="preserve">Number of applicants per year (national)</t>
  </si>
  <si>
    <t xml:space="preserve">~52,000 (MD via AMCAS, 2024); ~22,000 additional (DO via AACOMAS). Combined ~55,000 unique.</t>
  </si>
  <si>
    <t xml:space="preserve">~12,500 (via ADEA AADSAS, 2024 cycle)</t>
  </si>
  <si>
    <t xml:space="preserve">~839 (2024-25 cycle, AACPM data)</t>
  </si>
  <si>
    <t xml:space="preserve">~2,868 (OptomCAS, recent cycle)</t>
  </si>
  <si>
    <t xml:space="preserve">MD/DO count includes overlap; ~55K unique applicants total</t>
  </si>
  <si>
    <t xml:space="preserve">Number of seats/spots available</t>
  </si>
  <si>
    <t xml:space="preserve">~23,200 (MD) + ~10,000 (DO) = ~33,000 total first-year seats</t>
  </si>
  <si>
    <t xml:space="preserve">~7,000 first-year enrollees (73 accredited schools)</t>
  </si>
  <si>
    <t xml:space="preserve">~525 first-year enrollees (11 schools, 2024)</t>
  </si>
  <si>
    <t xml:space="preserve">~1,800 first-year enrollees (25 schools)</t>
  </si>
  <si>
    <t xml:space="preserve">Acceptance rate</t>
  </si>
  <si>
    <t xml:space="preserve">~44% of MD applicants matriculate somewhere; ~60% if including DO. Per-school avg: ~4.2% (MD).</t>
  </si>
  <si>
    <t xml:space="preserve">~54-59% of applicants enroll. Per-school rates: 3-29%.</t>
  </si>
  <si>
    <t xml:space="preserve">~71% acceptance rate (very accessible).</t>
  </si>
  <si>
    <t xml:space="preserve">~65% acceptance rate est. (applicant-to-seat ratio ~1.4-1.6:1).</t>
  </si>
  <si>
    <t xml:space="preserve">Score: 3 (MD), 5 (DDS), 9 (DPM), 7 (OD). Higher%=higher score</t>
  </si>
  <si>
    <t xml:space="preserve">Average number of applications per candidate</t>
  </si>
  <si>
    <t xml:space="preserve">~18 schools per MD applicant (AAMC data); many also apply DO</t>
  </si>
  <si>
    <t xml:space="preserve">~10-15 schools typical</t>
  </si>
  <si>
    <t xml:space="preserve">~3-6 schools (only 11 exist)</t>
  </si>
  <si>
    <t xml:space="preserve">~4-8 schools (25 exist)</t>
  </si>
  <si>
    <t xml:space="preserve">Reapplicant rate</t>
  </si>
  <si>
    <t xml:space="preserve">~25% of MD applicants are reapplicants</t>
  </si>
  <si>
    <t xml:space="preserve">~15-20% estimated</t>
  </si>
  <si>
    <t xml:space="preserve">~5-10% estimated (high acceptance rate)</t>
  </si>
  <si>
    <t xml:space="preserve">~10-15% estimated</t>
  </si>
  <si>
    <t xml:space="preserve">Exact reapplicant data limited for DDS/DPM/OD</t>
  </si>
  <si>
    <t xml:space="preserve">Career changers welcome?</t>
  </si>
  <si>
    <t xml:space="preserve">Moderate — possible but challenging. Post-bacc &amp; SMP pathways exist. Score: 5/10</t>
  </si>
  <si>
    <t xml:space="preserve">Moderate — similar post-bacc pathways. Score: 5/10</t>
  </si>
  <si>
    <t xml:space="preserve">Very welcoming — lower bar, flexible. Score: 9/10</t>
  </si>
  <si>
    <t xml:space="preserve">Moderately welcoming — 3yr entry possible. Score: 7/10</t>
  </si>
  <si>
    <t xml:space="preserve">10=very welcoming to career changers</t>
  </si>
  <si>
    <t xml:space="preserve">Role of state residency / connections</t>
  </si>
  <si>
    <t xml:space="preserve">Very significant for public MD schools (strong in-state preference). Less for private/DO.</t>
  </si>
  <si>
    <t xml:space="preserve">Significant for public dental schools; ~60% of seats go to in-state.</t>
  </si>
  <si>
    <t xml:space="preserve">Less significant — small number of schools, many private.</t>
  </si>
  <si>
    <t xml:space="preserve">Moderate — some state preference but many private schools.</t>
  </si>
  <si>
    <t xml:space="preserve">3. PROFESSIONAL SCHOOL</t>
  </si>
  <si>
    <t xml:space="preserve">Degree granted</t>
  </si>
  <si>
    <t xml:space="preserve">MD (allopathic) or DO (osteopathic)</t>
  </si>
  <si>
    <t xml:space="preserve">DDS or DMD (functionally identical)</t>
  </si>
  <si>
    <t xml:space="preserve">DPM (Doctor of Podiatric Medicine)</t>
  </si>
  <si>
    <t xml:space="preserve">OD (Doctor of Optometry)</t>
  </si>
  <si>
    <t xml:space="preserve">Duration of program (years)</t>
  </si>
  <si>
    <t xml:space="preserve">4 years (one 3-yr accelerated program exists)</t>
  </si>
  <si>
    <t xml:space="preserve">All are 4-year programs</t>
  </si>
  <si>
    <t xml:space="preserve">Curriculum structure (classroom vs. clinical split)</t>
  </si>
  <si>
    <t xml:space="preserve">Yrs 1-2: preclinical/classroom. Yrs 3-4: clinical rotations. Many now "1.5+2.5" integrated.</t>
  </si>
  <si>
    <t xml:space="preserve">Yrs 1-2: biomedical sciences. Yrs 3-4: clinical/patient care in dental clinics. Hands-on earlier.</t>
  </si>
  <si>
    <t xml:space="preserve">Yrs 1-2: basic medical sciences (overlaps heavily with MD/DO). Yrs 3-4: clinical rotations focused on lower extremity.</t>
  </si>
  <si>
    <t xml:space="preserve">Yr 1: basic sciences. Yrs 2-3: clinical sciences + clinic. Yr 4: externships/rotations.</t>
  </si>
  <si>
    <t xml:space="preserve">When does hands-on / patient contact begin?</t>
  </si>
  <si>
    <t xml:space="preserve">Typically Year 3 for full clinical rotations; some early clinical exposure Yr 1-2. Score: 5/10</t>
  </si>
  <si>
    <t xml:space="preserve">Yr 2-3 for patient care in dental clinics (simulation/lab in Yr 1). Score: 7/10</t>
  </si>
  <si>
    <t xml:space="preserve">Yr 3 clinical rotations; some Yr 2 clinical intro. Score: 5/10</t>
  </si>
  <si>
    <t xml:space="preserve">Yr 2 clinic begins; heavy patient contact Yr 3-4. Score: 7/10</t>
  </si>
  <si>
    <t xml:space="preserve">10=earliest patient contact</t>
  </si>
  <si>
    <t xml:space="preserve">Board exams during school (how many, when)</t>
  </si>
  <si>
    <t xml:space="preserve">USMLE Step 1 (end Yr 2, now pass/fail), Step 2 CK (Yr 3-4). COMLEX 1 &amp; 2 for DO.</t>
  </si>
  <si>
    <t xml:space="preserve">NBDE Part I (Yr 2) &amp; Part II (Yr 4) — now replaced by INBDE (integrated, taken Yr 4).</t>
  </si>
  <si>
    <t xml:space="preserve">APMLE Part I (end Yr 2) &amp; Part II (Yr 4). Similar structure to USMLE.</t>
  </si>
  <si>
    <t xml:space="preserve">NBEO Part I (end Yr 2-3), Part II (Yr 3-4), Part III (after graduation, clinical skills).</t>
  </si>
  <si>
    <t xml:space="preserve">Attrition / dropout rate</t>
  </si>
  <si>
    <t xml:space="preserve">~3-4% (MD); ~5-7% (DO). Very low overall.</t>
  </si>
  <si>
    <t xml:space="preserve">~5-6% attrition</t>
  </si>
  <si>
    <t xml:space="preserve">~8-12% estimated (higher due to lower entry standards)</t>
  </si>
  <si>
    <t xml:space="preserve">~5-8% estimated. NBEO Part I first-time pass rate ~69% is concerning.</t>
  </si>
  <si>
    <t xml:space="preserve">⚠️ OD board pass rates declining; DPM attrition higher than avg</t>
  </si>
  <si>
    <t xml:space="preserve">Typical class size</t>
  </si>
  <si>
    <t xml:space="preserve">~100-200 per class (MD); ~150-300 (newer DO schools)</t>
  </si>
  <si>
    <t xml:space="preserve">~80-120 per class</t>
  </si>
  <si>
    <t xml:space="preserve">~40-60 per class</t>
  </si>
  <si>
    <t xml:space="preserve">~60-120 per class</t>
  </si>
  <si>
    <t xml:space="preserve">Number of accredited schools in U.S.</t>
  </si>
  <si>
    <t xml:space="preserve">~158 MD + ~45 DO = ~203 total</t>
  </si>
  <si>
    <t xml:space="preserve">73 dental schools</t>
  </si>
  <si>
    <t xml:space="preserve">11 podiatry schools (2 candidates)</t>
  </si>
  <si>
    <t xml:space="preserve">25 optometry schools</t>
  </si>
  <si>
    <t xml:space="preserve">Does school prestige matter for career outcomes?</t>
  </si>
  <si>
    <t xml:space="preserve">Yes — significantly for competitive specialties (surgery, derm, etc.). Score: 3/10</t>
  </si>
  <si>
    <t xml:space="preserve">Moderate — matters for OMFS/ortho specialty, less for general. Score: 6/10</t>
  </si>
  <si>
    <t xml:space="preserve">Minimal — so few schools, most matter equally. Score: 8/10</t>
  </si>
  <si>
    <t xml:space="preserve">Minimal — prestige matters little; boards &amp; clinicals matter more. Score: 8/10</t>
  </si>
  <si>
    <t xml:space="preserve">10=prestige irrelevant</t>
  </si>
  <si>
    <t xml:space="preserve">4. POST-GRADUATE TRAINING</t>
  </si>
  <si>
    <t xml:space="preserve">Is residency required?</t>
  </si>
  <si>
    <t xml:space="preserve">Yes — universally required for licensure in all specialties.</t>
  </si>
  <si>
    <t xml:space="preserve">No — general dentistry can practice immediately. Required only for specialties (2-6 yrs).</t>
  </si>
  <si>
    <t xml:space="preserve">Yes — 3-year surgical residency required.</t>
  </si>
  <si>
    <t xml:space="preserve">No — can practice immediately after licensure. Optional 1-year residency (~40% do one).</t>
  </si>
  <si>
    <t xml:space="preserve">Major differentiator: DDS &amp; OD can skip residency</t>
  </si>
  <si>
    <t xml:space="preserve">Formal match process?</t>
  </si>
  <si>
    <t xml:space="preserve">Yes — NRMP Match (MD/DO). Binding, competitive.</t>
  </si>
  <si>
    <t xml:space="preserve">Partial — PASS/Match for specialties only. General dentistry: AEGD/GPR match (voluntary).</t>
  </si>
  <si>
    <t xml:space="preserve">Yes — CASPR centralized match. ~99% match rate.</t>
  </si>
  <si>
    <t xml:space="preserve">No formal match — application/interview directly with programs.</t>
  </si>
  <si>
    <t xml:space="preserve">Compensation during residency</t>
  </si>
  <si>
    <t xml:space="preserve">~$60,000-$75,000/yr (PGY1-PGY7 range). Avg ~$65K starting.</t>
  </si>
  <si>
    <t xml:space="preserve">N/A for general practice; specialty residents: ~$55K-$65K/yr</t>
  </si>
  <si>
    <t xml:space="preserve">~$55,000-$65,000/yr for 3-year residency</t>
  </si>
  <si>
    <t xml:space="preserve">N/A (residency optional); those who do: ~$45K-$55K stipend</t>
  </si>
  <si>
    <t xml:space="preserve">Moonlighting opportunities during training</t>
  </si>
  <si>
    <t xml:space="preserve">Yes — many programs allow moonlighting after PGY1. Varies by program/specialty.</t>
  </si>
  <si>
    <t xml:space="preserve">N/A for most (no residency). Specialty residents: limited.</t>
  </si>
  <si>
    <t xml:space="preserve">Limited — some moonlighting possible in later residency years.</t>
  </si>
  <si>
    <t xml:space="preserve">N/A (most work immediately as licensed ODs).</t>
  </si>
  <si>
    <t xml:space="preserve">Board certification process after residency</t>
  </si>
  <si>
    <t xml:space="preserve">USMLE Step 3 (during residency). Specialty board exams after completion. MOC required.</t>
  </si>
  <si>
    <t xml:space="preserve">No additional board exam for general practice. Specialty boards after residency.</t>
  </si>
  <si>
    <t xml:space="preserve">APMLE Part III (during/after residency). Board certification by ABFAS.</t>
  </si>
  <si>
    <t xml:space="preserve">NBEO Part III (after school). No additional post-residency boards for general OD.</t>
  </si>
  <si>
    <t xml:space="preserve">Total years: college freshman → independent practice</t>
  </si>
  <si>
    <t xml:space="preserve">12-16 years (4 undergrad + 4 med + 3-7 residency ± 1-3 fellowship)</t>
  </si>
  <si>
    <t xml:space="preserve">8-14 years (4 undergrad + 4 dental + 0-6 specialty)</t>
  </si>
  <si>
    <t xml:space="preserve">11 years (4 undergrad + 4 DPM + 3 residency)</t>
  </si>
  <si>
    <t xml:space="preserve">8-9 years (4 undergrad + 4 OD + 0-1 optional residency)</t>
  </si>
  <si>
    <t xml:space="preserve">Score: 2 (MD), 6 (DDS), 4 (DPM), 9 (OD). Fewer=better</t>
  </si>
  <si>
    <t xml:space="preserve">5. FINANCIAL PICTURE</t>
  </si>
  <si>
    <t xml:space="preserve">Average tuition (total program cost)</t>
  </si>
  <si>
    <t xml:space="preserve">~$235K-$260K total (4 yr). Public in-state: ~$160K; Private: ~$260K+.</t>
  </si>
  <si>
    <t xml:space="preserve">~$280K-$320K total (4 yr). Often higher than medical school.</t>
  </si>
  <si>
    <t xml:space="preserve">~$160K-$220K total (4 yr). Generally lower cost.</t>
  </si>
  <si>
    <t xml:space="preserve">~$200K-$260K total (4 yr). Varies widely by school.</t>
  </si>
  <si>
    <t xml:space="preserve">⚠️ Dental school often most expensive of the four</t>
  </si>
  <si>
    <t xml:space="preserve">Average total debt at graduation</t>
  </si>
  <si>
    <t xml:space="preserve">~$205,000 (AAMC, class of 2024). 71% carry educational debt.</t>
  </si>
  <si>
    <t xml:space="preserve">~$296,500 (ADEA, 2023 data). Among highest of all health professions.</t>
  </si>
  <si>
    <t xml:space="preserve">~$180,000-$220,000 estimated.</t>
  </si>
  <si>
    <t xml:space="preserve">~$230,000 (2023 OD income report). Rising steadily.</t>
  </si>
  <si>
    <t xml:space="preserve">Typical debt-to-income ratio at career start</t>
  </si>
  <si>
    <t xml:space="preserve">~0.7-1.0x (debt ~$205K vs starting salary ~$250-300K+ varies by specialty)</t>
  </si>
  <si>
    <t xml:space="preserve">~1.5-2.0x (debt ~$297K vs general dentist starting ~$150-180K)</t>
  </si>
  <si>
    <t xml:space="preserve">~1.0-1.5x (debt ~$200K vs starting salary ~$150-180K)</t>
  </si>
  <si>
    <t xml:space="preserve">~1.7-2.3x (debt ~$230K vs starting salary ~$100-130K)</t>
  </si>
  <si>
    <t xml:space="preserve">⚠️ OD has worst debt-to-income ratio; DDS also challenging</t>
  </si>
  <si>
    <t xml:space="preserve">Scholarship / military / service options</t>
  </si>
  <si>
    <t xml:space="preserve">Strong: HPSP military, NHSC, many institutional scholarships. Several tuition-free schools (NYU, Kaiser, Cornell). Score: 7/10</t>
  </si>
  <si>
    <t xml:space="preserve">Moderate: NHSC for underserved, some military options, fewer tuition-free programs. Score: 5/10</t>
  </si>
  <si>
    <t xml:space="preserve">Limited: fewer scholarships; some military/NHSC. Score: 4/10</t>
  </si>
  <si>
    <t xml:space="preserve">Limited: HPSP/IHS available but fewer options overall. Score: 4/10</t>
  </si>
  <si>
    <t xml:space="preserve">Income during training years (residency salary)</t>
  </si>
  <si>
    <t xml:space="preserve">~$60-75K/yr for 3-7 years of residency</t>
  </si>
  <si>
    <t xml:space="preserve">$0 during training if general practice (earn full salary day 1); specialists: ~$55-65K for 2-6 yrs</t>
  </si>
  <si>
    <t xml:space="preserve">~$55-65K/yr for 3 years residency</t>
  </si>
  <si>
    <t xml:space="preserve">$0 training pay if no residency (earn full salary day 1); optional resident: ~$45-55K for 1 yr</t>
  </si>
  <si>
    <t xml:space="preserve">DDS/OD huge advantage: can earn full salary immediately</t>
  </si>
  <si>
    <t xml:space="preserve">Time to break even financially</t>
  </si>
  <si>
    <t xml:space="preserve">~8-12 years after med school graduation (varies enormously by specialty)</t>
  </si>
  <si>
    <t xml:space="preserve">~8-12 years after dental school (practice purchase costs add complexity)</t>
  </si>
  <si>
    <t xml:space="preserve">~6-10 years after DPM graduation</t>
  </si>
  <si>
    <t xml:space="preserve">~8-15 years after OD graduation (lower salary makes payoff slower)</t>
  </si>
  <si>
    <t xml:space="preserve">Estimates vary widely based on lifestyle, location, specialty</t>
  </si>
  <si>
    <t xml:space="preserve">Loan forgiveness programs available</t>
  </si>
  <si>
    <t xml:space="preserve">Yes — PSLF (10yr), NHSC, military, state programs. Many physicians qualify via academic/hospital employment.</t>
  </si>
  <si>
    <t xml:space="preserve">Yes — PSLF, NHSC (up to $75K for underserved), state programs. Fewer opportunities than MD.</t>
  </si>
  <si>
    <t xml:space="preserve">Yes — PSLF, NHSC, VA. Fewer programs overall.</t>
  </si>
  <si>
    <t xml:space="preserve">Yes — PSLF, NHSC, IHS, military. Community health centers.</t>
  </si>
  <si>
    <t xml:space="preserve">Opportunity cost (years of lost earning)</t>
  </si>
  <si>
    <t xml:space="preserve">11-15 yrs of lost/reduced earning (4 med + 3-7 residency at below-market pay + fellowship)</t>
  </si>
  <si>
    <t xml:space="preserve">4-10 yrs lost earning (4 dental + 0-6 if specializing). General dentist: only 4 yrs.</t>
  </si>
  <si>
    <t xml:space="preserve">7 yrs lost earning (4 DPM + 3 residency)</t>
  </si>
  <si>
    <t xml:space="preserve">4-5 yrs lost earning (4 OD + 0-1 optional residency). Lowest opportunity cost.</t>
  </si>
  <si>
    <t xml:space="preserve">Score: 2 (MD), 6 (DDS gen), 4 (DPM), 9 (OD). Less=better</t>
  </si>
  <si>
    <t xml:space="preserve">6. SCOPE OF PRACTICE &amp; AUTONOMY</t>
  </si>
  <si>
    <t xml:space="preserve">What can you legally do? (prescribe, operate, admit)</t>
  </si>
  <si>
    <t xml:space="preserve">Full scope: prescribe all drugs, perform all surgeries, admit to hospitals, unlimited practice.</t>
  </si>
  <si>
    <t xml:space="preserve">Prescribe (limited to dental-related), perform oral/maxillofacial surgery, limited hospital privileges for OMFS.</t>
  </si>
  <si>
    <t xml:space="preserve">Prescribe (full for lower extremity), surgery on foot/ankle, admit patients, hospital privileges.</t>
  </si>
  <si>
    <t xml:space="preserve">Prescribe (optometric medications, varies by state), NO surgery (except minor in-office in some states). Cannot admit.</t>
  </si>
  <si>
    <t xml:space="preserve">MD/DO: broadest scope. OD: most limited.</t>
  </si>
  <si>
    <t xml:space="preserve">Scope variation by state</t>
  </si>
  <si>
    <t xml:space="preserve">Highly uniform — MD/DO scope consistent nationwide. Score: 9/10</t>
  </si>
  <si>
    <t xml:space="preserve">Fairly uniform — some variation in anesthesia/sedation privileges. Score: 8/10</t>
  </si>
  <si>
    <t xml:space="preserve">Moderate variation — some states limit surgical privileges. Score: 6/10</t>
  </si>
  <si>
    <t xml:space="preserve">High variation — laser/minor surgical privileges vary significantly by state. Score: 4/10</t>
  </si>
  <si>
    <t xml:space="preserve">10=least state variation</t>
  </si>
  <si>
    <t xml:space="preserve">Independent practice vs. oversight required</t>
  </si>
  <si>
    <t xml:space="preserve">Yes — fully independent after training.</t>
  </si>
  <si>
    <t xml:space="preserve">Yes — fully independent (general and specialists).</t>
  </si>
  <si>
    <t xml:space="preserve">Yes — fully independent after residency.</t>
  </si>
  <si>
    <t xml:space="preserve">Yes — fully independent in all states. But collaborative care common.</t>
  </si>
  <si>
    <t xml:space="preserve">All four allow independent practice</t>
  </si>
  <si>
    <t xml:space="preserve">Hospital privileges (OR access, admitting)</t>
  </si>
  <si>
    <t xml:space="preserve">Full hospital privileges: OR, admitting, ICU, all departments.</t>
  </si>
  <si>
    <t xml:space="preserve">Limited: OR access mainly for OMFS. General dentists rarely need hospital privileges.</t>
  </si>
  <si>
    <t xml:space="preserve">Moderate: surgical privileges for foot/ankle in hospital OR. Admitting privileges available.</t>
  </si>
  <si>
    <t xml:space="preserve">Minimal: no hospital admitting or OR privileges. Office/clinic based only.</t>
  </si>
  <si>
    <t xml:space="preserve">Ability to expand scope over career</t>
  </si>
  <si>
    <t xml:space="preserve">Already maximum scope. Can subspecialize further. Score: 5/10 (already at max)</t>
  </si>
  <si>
    <t xml:space="preserve">Moderate expansion potential via additional training. Score: 5/10</t>
  </si>
  <si>
    <t xml:space="preserve">Some expansion — scope has been growing (ankle surgery added in many states). Score: 7/10</t>
  </si>
  <si>
    <t xml:space="preserve">Significant expansion underway — many states adding Rx, laser, minor procedures. Score: 8/10</t>
  </si>
  <si>
    <t xml:space="preserve">10=most room for scope expansion</t>
  </si>
  <si>
    <t xml:space="preserve">Turf wars / political battles over scope</t>
  </si>
  <si>
    <t xml:space="preserve">Minimal for MDs. DOs occasionally face bias but legally equivalent. Score: 8/10</t>
  </si>
  <si>
    <t xml:space="preserve">Moderate — competition with dental therapists, hygienist scope expansion. Score: 6/10</t>
  </si>
  <si>
    <t xml:space="preserve">Significant — ongoing battles with orthopedic surgeons over ankle/surgical scope. Score: 3/10</t>
  </si>
  <si>
    <t xml:space="preserve">Significant — ongoing battles with ophthalmologists over medical/surgical eye care. Score: 3/10</t>
  </si>
  <si>
    <t xml:space="preserve">10=least turf war stress</t>
  </si>
  <si>
    <t xml:space="preserve">Referral dynamics (who refers to whom)</t>
  </si>
  <si>
    <t xml:space="preserve">Top of referral chain — receives referrals from all other providers.</t>
  </si>
  <si>
    <t xml:space="preserve">Self-contained — most patients self-refer or come from general dentist to specialist.</t>
  </si>
  <si>
    <t xml:space="preserve">Receives referrals from PCPs, orthopedists, endocrinologists (diabetic foot). Refers complex cases to ortho.</t>
  </si>
  <si>
    <t xml:space="preserve">Primary eye care — refers to ophthalmology for surgery. Receives referrals from PCPs.</t>
  </si>
  <si>
    <t xml:space="preserve">7. CAREER ECONOMICS (L1 Data Points)</t>
  </si>
  <si>
    <t xml:space="preserve">Practice ownership potential and trends</t>
  </si>
  <si>
    <t xml:space="preserve">Declining — hospital employment dominant (~70%+ employed). Private practice shrinking. Score: 4/10</t>
  </si>
  <si>
    <t xml:space="preserve">Strong — ~77% of dentists own or co-own practices. Trend toward DSOs but ownership still viable. Score: 7/10</t>
  </si>
  <si>
    <t xml:space="preserve">Moderate — many podiatrists own solo/group practices. Some hospital employment growth. Score: 6/10</t>
  </si>
  <si>
    <t xml:space="preserve">Declining — corporate optometry (Luxottica, private equity) growing. ~50% employed, 50% own. Score: 5/10</t>
  </si>
  <si>
    <t xml:space="preserve">10=strongest ownership potential</t>
  </si>
  <si>
    <t xml:space="preserve">Insurance reimbursement trends</t>
  </si>
  <si>
    <t xml:space="preserve">Declining — Medicare cuts, prior auth burden, RVU compression. Score: 4/10</t>
  </si>
  <si>
    <t xml:space="preserve">Relatively stable — less dependent on insurance (dental insurance simpler, more fee-for-service). Score: 6/10</t>
  </si>
  <si>
    <t xml:space="preserve">Under pressure — Medicare reimbursement low for podiatry, increasing documentation burden. Score: 3/10</t>
  </si>
  <si>
    <t xml:space="preserve">Challenging — vision plan reimbursements very low; medical billing better but limited scope. Score: 3/10</t>
  </si>
  <si>
    <t xml:space="preserve">⚠️ DPM and OD face particularly challenging reimbursement</t>
  </si>
  <si>
    <t xml:space="preserve">8. DAILY LIFE &amp; PRACTICE REALITY (L1 Data Points)</t>
  </si>
  <si>
    <t xml:space="preserve">Practice settings available</t>
  </si>
  <si>
    <t xml:space="preserve">Enormous variety: hospital, private practice, academic, VA, military, public health, telemedicine, locum tenens, industry.</t>
  </si>
  <si>
    <t xml:space="preserve">Private practice (solo/group), DSO (corporate), academic, public health, military, hospital (OMFS).</t>
  </si>
  <si>
    <t xml:space="preserve">Private practice (solo/group), hospital, VA, wound care centers, academic, military.</t>
  </si>
  <si>
    <t xml:space="preserve">Private practice (solo/group), corporate (LensCrafters, Walmart, Costco), VA, academic, hospital.</t>
  </si>
  <si>
    <t xml:space="preserve">10. JOB MARKET &amp; DEMAND</t>
  </si>
  <si>
    <t xml:space="preserve">Current job market (shortage vs. saturated)</t>
  </si>
  <si>
    <t xml:space="preserve">Severe physician shortage projected. Strong demand in most specialties, esp. primary care and rural. Score: 8/10</t>
  </si>
  <si>
    <t xml:space="preserve">Strong demand overall. Shortage in rural/underserved areas. Urban markets more competitive. Score: 7/10</t>
  </si>
  <si>
    <t xml:space="preserve">Moderate demand. Growing due to diabetic foot care and aging population. Some geographic saturation. Score: 6/10</t>
  </si>
  <si>
    <t xml:space="preserve">Mixed — some saturation in urban areas due to new schools. Rural demand strong. Score: 5/10</t>
  </si>
  <si>
    <t xml:space="preserve">10=strongest job market</t>
  </si>
  <si>
    <t xml:space="preserve">Projected demand next 10-20 years</t>
  </si>
  <si>
    <t xml:space="preserve">Very strong — AAMC projects shortage of 37K-124K physicians by 2036. Score: 9/10</t>
  </si>
  <si>
    <t xml:space="preserve">Strong — aging population, increased dental consciousness. Score: 7/10</t>
  </si>
  <si>
    <t xml:space="preserve">Moderate-Strong — diabetic epidemic driving podiatric demand. Score: 7/10</t>
  </si>
  <si>
    <t xml:space="preserve">Moderate — aging population needs eye care, but new schools adding supply. Score: 5/10</t>
  </si>
  <si>
    <t xml:space="preserve">⚠️ OD oversupply risk from proliferation of new schools</t>
  </si>
  <si>
    <t xml:space="preserve">Impact of aging population</t>
  </si>
  <si>
    <t xml:space="preserve">Massive positive impact — elderly need more healthcare across all specialties.</t>
  </si>
  <si>
    <t xml:space="preserve">Positive — elderly retain teeth longer, need more dental care. Geriatric dentistry growing.</t>
  </si>
  <si>
    <t xml:space="preserve">Very positive — diabetes, peripheral vascular disease, diabetic foot ulcers all increase with age.</t>
  </si>
  <si>
    <t xml:space="preserve">Positive — cataracts, glaucoma, macular degeneration, diabetic eye disease all age-related.</t>
  </si>
  <si>
    <t xml:space="preserve">All four professions benefit from aging demographics</t>
  </si>
  <si>
    <t xml:space="preserve">Vulnerability to scope encroachment</t>
  </si>
  <si>
    <t xml:space="preserve">Moderate — NP/PA scope expansion is growing concern, especially in primary care. Score: 6/10</t>
  </si>
  <si>
    <t xml:space="preserve">Low-Moderate — dental therapists expanding in some states, but limited. Score: 7/10</t>
  </si>
  <si>
    <t xml:space="preserve">Moderate — orthopedic scope overlap; NP/PA foot care in some settings. Score: 5/10</t>
  </si>
  <si>
    <t xml:space="preserve">High — ophthalmologists protect turf aggressively; online refraction tools emerging. Score: 4/10</t>
  </si>
  <si>
    <t xml:space="preserve">10=least vulnerable to encroachment</t>
  </si>
  <si>
    <t xml:space="preserve">11. AI REVOLUTION IMPACT</t>
  </si>
  <si>
    <t xml:space="preserve">AI impact on diagnostics vs. procedures</t>
  </si>
  <si>
    <t xml:space="preserve">Diagnostic specialties (radiology, pathology) at higher risk. Procedural specialties more protected. Score: 6/10</t>
  </si>
  <si>
    <t xml:space="preserve">Limited AI risk — dentistry is highly manual/procedural. AI aids diagnostics but can't replace hands. Score: 8/10</t>
  </si>
  <si>
    <t xml:space="preserve">Low AI risk — surgical/procedural nature is protective. AI helps wound monitoring. Score: 8/10</t>
  </si>
  <si>
    <t xml:space="preserve">Moderate risk — AI retinal screening, auto-refraction could reduce routine exam volume. Score: 4/10</t>
  </si>
  <si>
    <t xml:space="preserve">10=least disrupted by AI</t>
  </si>
  <si>
    <t xml:space="preserve">AI as tool (enhances) vs. AI as replacement</t>
  </si>
  <si>
    <t xml:space="preserve">Mostly enhancing — AI assists diagnosis, imaging, treatment planning. Procedural work safe.</t>
  </si>
  <si>
    <t xml:space="preserve">Enhancing — AI helps treatment planning, imaging analysis. Hands-on work irreplaceable.</t>
  </si>
  <si>
    <t xml:space="preserve">Enhancing — AI aids wound assessment, surgical planning. Core work safe.</t>
  </si>
  <si>
    <t xml:space="preserve">Partially replacing — AI retinal screening, teleoptometry, auto-refraction reduce need for some routine care.</t>
  </si>
  <si>
    <t xml:space="preserve">⚠️ OD faces more replacement risk than other three</t>
  </si>
  <si>
    <t xml:space="preserve">Timeline of likely disruption (5yr vs. 20yr)</t>
  </si>
  <si>
    <t xml:space="preserve">Gradual — major AI integration 10-20yr horizon. Administrative AI sooner.</t>
  </si>
  <si>
    <t xml:space="preserve">Long timeline — 15-20+ years before significant practice change.</t>
  </si>
  <si>
    <t xml:space="preserve">Long timeline — 15-20+ years. Surgical nature protective.</t>
  </si>
  <si>
    <t xml:space="preserve">Shorter — AI retinal screening already deployed (5-10yr for significant impact).</t>
  </si>
  <si>
    <t xml:space="preserve">Regulatory barriers slowing AI adoption</t>
  </si>
  <si>
    <t xml:space="preserve">Significant — FDA approval, malpractice concerns, physician oversight requirements. Score: 7/10</t>
  </si>
  <si>
    <t xml:space="preserve">Significant — FDA, state dental boards slow to adopt. Score: 7/10</t>
  </si>
  <si>
    <t xml:space="preserve">Significant — surgical AI faces highest regulatory barriers. Score: 8/10</t>
  </si>
  <si>
    <t xml:space="preserve">Lower barriers — AI screening already FDA-approved; telehealth advancing fast. Score: 5/10</t>
  </si>
  <si>
    <t xml:space="preserve">10=highest regulatory barriers protecting profession</t>
  </si>
  <si>
    <t xml:space="preserve">12. PROFESSIONAL SATISFACTION</t>
  </si>
  <si>
    <t xml:space="preserve">Prestige / public perception</t>
  </si>
  <si>
    <t xml:space="preserve">Highest prestige — "Doctor" title universally recognized. Score: 10/10</t>
  </si>
  <si>
    <t xml:space="preserve">High prestige — well-respected profession. Score: 8/10</t>
  </si>
  <si>
    <t xml:space="preserve">Moderate-Low — often confused with podiatry foot care. "Foot doctor" stigma. Score: 4/10</t>
  </si>
  <si>
    <t xml:space="preserve">Moderate — respected but often confused with ophthalmologist. "Eye doctor" broadly. Score: 6/10</t>
  </si>
  <si>
    <t xml:space="preserve">Teaching / academic opportunities</t>
  </si>
  <si>
    <t xml:space="preserve">Extensive — 203+ schools, residency programs, fellowships. Score: 9/10</t>
  </si>
  <si>
    <t xml:space="preserve">Good — 73 schools, residency programs. Score: 7/10</t>
  </si>
  <si>
    <t xml:space="preserve">Limited — only 11 schools, fewer academic positions. Score: 4/10</t>
  </si>
  <si>
    <t xml:space="preserve">Moderate — 25 schools, residency programs growing. Score: 5/10</t>
  </si>
  <si>
    <t xml:space="preserve">Research opportunities if desired</t>
  </si>
  <si>
    <t xml:space="preserve">Extensive — NIH funding, pharma, massive research infrastructure. Score: 10/10</t>
  </si>
  <si>
    <t xml:space="preserve">Good — dental research is active, NIH/NIDCR funded. Score: 7/10</t>
  </si>
  <si>
    <t xml:space="preserve">Limited — small research community, less funding. Score: 3/10</t>
  </si>
  <si>
    <t xml:space="preserve">Moderate — vision research (NEI) active, growing. Score: 6/10</t>
  </si>
  <si>
    <t xml:space="preserve">Ease of pivoting to adjacent careers</t>
  </si>
  <si>
    <t xml:space="preserve">Very flexible — consulting, pharma, biotech, admin, public health, policy, forensics. Score: 9/10</t>
  </si>
  <si>
    <t xml:space="preserve">Moderate — dental consulting, industry, education, public health. Score: 6/10</t>
  </si>
  <si>
    <t xml:space="preserve">Limited — narrower scope makes pivoting harder. Score: 3/10</t>
  </si>
  <si>
    <t xml:space="preserve">Moderate — vision industry, corporate, public health, contact lens R&amp;D. Score: 5/10</t>
  </si>
  <si>
    <t xml:space="preserve">13. DEMOGRAPHICS &amp; CULTURE</t>
  </si>
  <si>
    <t xml:space="preserve">Current male/female ratio</t>
  </si>
  <si>
    <t xml:space="preserve">~45% male / 55% female (matriculants 2024). Women majority since ~2019.</t>
  </si>
  <si>
    <t xml:space="preserve">~49% male / 51% female. Approaching parity.</t>
  </si>
  <si>
    <t xml:space="preserve">~57% male / 43% female (2024 matriculants).</t>
  </si>
  <si>
    <t xml:space="preserve">~29% male / 71% female. Heavily female-dominant.</t>
  </si>
  <si>
    <t xml:space="preserve">Gender trend direction</t>
  </si>
  <si>
    <t xml:space="preserve">Trending more female — women have been majority since ~2019.</t>
  </si>
  <si>
    <t xml:space="preserve">Trending more female — steady increase in women.</t>
  </si>
  <si>
    <t xml:space="preserve">Trending more female — women increasing but still male-majority.</t>
  </si>
  <si>
    <t xml:space="preserve">Already heavily female-dominant — trend continuing.</t>
  </si>
  <si>
    <t xml:space="preserve">Pay equity data (gender pay gap)</t>
  </si>
  <si>
    <t xml:space="preserve">Significant gap — female physicians earn ~$50K-100K less on average (varies by specialty). Score: 4/10</t>
  </si>
  <si>
    <t xml:space="preserve">Moderate gap — female dentists earn ~15-20% less. Score: 5/10</t>
  </si>
  <si>
    <t xml:space="preserve">Limited data — smaller profession, less studied. Score: 5/10 (estimated)</t>
  </si>
  <si>
    <t xml:space="preserve">Smaller gap — corporate/employed settings reduce disparities. Score: 6/10</t>
  </si>
  <si>
    <t xml:space="preserve">10=best pay equity</t>
  </si>
  <si>
    <t xml:space="preserve">Parental leave norms and culture</t>
  </si>
  <si>
    <t xml:space="preserve">Improving but still challenging — residency leave limited. Attending physicians varies by employer. Score: 4/10</t>
  </si>
  <si>
    <t xml:space="preserve">Good for practice owners (self-directed). Corporate/group varies. Score: 6/10</t>
  </si>
  <si>
    <t xml:space="preserve">Moderate — practice structure allows flexibility. Score: 6/10</t>
  </si>
  <si>
    <t xml:space="preserve">Good — predictable schedule supports parental leave. Corporate has policies. Score: 7/10</t>
  </si>
  <si>
    <t xml:space="preserve">Mentorship availability</t>
  </si>
  <si>
    <t xml:space="preserve">Excellent — large community, formal mentorship programs. Score: 8/10</t>
  </si>
  <si>
    <t xml:space="preserve">Good — professional organizations active. Score: 7/10</t>
  </si>
  <si>
    <t xml:space="preserve">Limited — small community, fewer mentors. Score: 4/10</t>
  </si>
  <si>
    <t xml:space="preserve">Moderate — growing community, ASCO/AOA programs. Score: 5/10</t>
  </si>
  <si>
    <t xml:space="preserve">Culture and "old guard" dynamics</t>
  </si>
  <si>
    <t xml:space="preserve">Changing — traditional hierarchies persist in surgery but culture shifting. Score: 5/10</t>
  </si>
  <si>
    <t xml:space="preserve">Moderate — private practice mentality evolving with DSOs. Score: 6/10</t>
  </si>
  <si>
    <t xml:space="preserve">Small community — less hierarchy but legacy culture exists. Score: 6/10</t>
  </si>
  <si>
    <t xml:space="preserve">Progressive — younger profession, less hierarchical. Score: 7/10</t>
  </si>
  <si>
    <t xml:space="preserve">10=most progressive/inclusive culture</t>
  </si>
  <si>
    <t xml:space="preserve">Diversity of practitioners (race, age, background)</t>
  </si>
  <si>
    <t xml:space="preserve">Improving — ~10% Black, ~6% Hispanic matriculants. Most diverse of the four but still underrepresented.</t>
  </si>
  <si>
    <t xml:space="preserve">Less diverse — ~50% White, ~25% Asian. Black and Hispanic underrepresented.</t>
  </si>
  <si>
    <t xml:space="preserve">Moderate diversity — smaller data set.</t>
  </si>
  <si>
    <t xml:space="preserve">Less diverse — ~47% White, ~31% Asian. Black representation ~4%.</t>
  </si>
  <si>
    <t xml:space="preserve">Welcoming to career changers / non-traditional?</t>
  </si>
  <si>
    <t xml:space="preserve">Moderately — post-bacc pathways exist but process is grueling. Score: 5/10</t>
  </si>
  <si>
    <t xml:space="preserve">Moderately — similar pathways. Score: 5/10</t>
  </si>
  <si>
    <t xml:space="preserve">Very welcoming — lower barriers, accepting of non-traditional paths. Score: 9/10</t>
  </si>
  <si>
    <t xml:space="preserve">Moderately welcoming — flexible entry. Score: 7/10</t>
  </si>
  <si>
    <t xml:space="preserve">14. RISK FACTORS &amp; DOWNSIDES</t>
  </si>
  <si>
    <t xml:space="preserve">Regulatory burden and trends</t>
  </si>
  <si>
    <t xml:space="preserve">High and increasing — prior auth, documentation, compliance, MOC requirements. Score: 3/10</t>
  </si>
  <si>
    <t xml:space="preserve">Moderate — OSHA, infection control, state board regulations. Score: 5/10</t>
  </si>
  <si>
    <t xml:space="preserve">Moderate — similar medical regulations but smaller scale. Score: 5/10</t>
  </si>
  <si>
    <t xml:space="preserve">Moderate-Low — fewer regulations than medicine. Score: 6/10</t>
  </si>
  <si>
    <t xml:space="preserve">10=least regulatory burden</t>
  </si>
  <si>
    <t xml:space="preserve">Continuing education requirements</t>
  </si>
  <si>
    <t xml:space="preserve">Substantial — CME hours required (varies by state/specialty, typically 50+ hrs/yr). MOC exams.</t>
  </si>
  <si>
    <t xml:space="preserve">Moderate — CE required (typically 25-50 hrs/yr by state). Licensure renewal.</t>
  </si>
  <si>
    <t xml:space="preserve">Moderate — CME required (typically 50 hrs/yr). Board recertification.</t>
  </si>
  <si>
    <t xml:space="preserve">Moderate — CE required (typically 24-36 hrs/yr by state).</t>
  </si>
  <si>
    <t xml:space="preserve">Recertification requirements and costs</t>
  </si>
  <si>
    <t xml:space="preserve">Expensive — MOC (Maintenance of Certification) every 10 years for most specialty boards. Exams + fees: $2K-5K+.</t>
  </si>
  <si>
    <t xml:space="preserve">Varies — some specialty boards require recertification. General: state licensure renewal ($200-500/yr).</t>
  </si>
  <si>
    <t xml:space="preserve">ABFAS recertification required. Exam + fees: $1K-3K.</t>
  </si>
  <si>
    <t xml:space="preserve">No board recertification required after initial licensure. CE + state license renewal only ($300-800/yr).</t>
  </si>
  <si>
    <t xml:space="preserve">OD has simplest/cheapest recertification</t>
  </si>
  <si>
    <t xml:space="preserve">L1 SCORING — DETAILED DATA POINT SCORES</t>
  </si>
  <si>
    <t xml:space="preserve">Scoring Note</t>
  </si>
  <si>
    <t xml:space="preserve">Cat 1: Pre-Professional Phase</t>
  </si>
  <si>
    <t xml:space="preserve">Years of undergrad required</t>
  </si>
  <si>
    <t xml:space="preserve">All ~4yr; DPM/OD allow 3yr entry</t>
  </si>
  <si>
    <t xml:space="preserve">MD hardest; DPM easiest to score competitively</t>
  </si>
  <si>
    <t xml:space="preserve">GPA expectations</t>
  </si>
  <si>
    <t xml:space="preserve">MD: 3.75; DDS: 3.67; OD: 3.57; DPM: 3.30</t>
  </si>
  <si>
    <t xml:space="preserve">MD: massive extras; DPM: minimal needed</t>
  </si>
  <si>
    <t xml:space="preserve">Cat 2: Admissions Competitiveness</t>
  </si>
  <si>
    <t xml:space="preserve">MD ~44%; DDS ~55%; DPM ~71%; OD ~65%</t>
  </si>
  <si>
    <t xml:space="preserve">DPM most accessible for career changers</t>
  </si>
  <si>
    <t xml:space="preserve">Cat 3: Professional School</t>
  </si>
  <si>
    <t xml:space="preserve">Duration of program</t>
  </si>
  <si>
    <t xml:space="preserve">All 4 years</t>
  </si>
  <si>
    <t xml:space="preserve">Hands-on / patient contact timing</t>
  </si>
  <si>
    <t xml:space="preserve">DDS/OD: earlier hands-on</t>
  </si>
  <si>
    <t xml:space="preserve">Prestige matters for outcomes?</t>
  </si>
  <si>
    <t xml:space="preserve">MD: prestige critical for competitive spec</t>
  </si>
  <si>
    <t xml:space="preserve">Cat 4: Post-Graduate Training</t>
  </si>
  <si>
    <t xml:space="preserve">DDS/OD: no (huge advantage); DPM: 3yr; MD: 3-7yr</t>
  </si>
  <si>
    <t xml:space="preserve">Total years to independent practice</t>
  </si>
  <si>
    <t xml:space="preserve">MD: 12-16yr; DDS: 8-14; DPM: 11; OD: 8-9</t>
  </si>
  <si>
    <t xml:space="preserve">Cat 5: Financial Picture</t>
  </si>
  <si>
    <t xml:space="preserve">DDS highest cost; DPM lowest</t>
  </si>
  <si>
    <t xml:space="preserve">Average debt at graduation</t>
  </si>
  <si>
    <t xml:space="preserve">DDS: $297K worst; OD: $230K also high vs income</t>
  </si>
  <si>
    <t xml:space="preserve">Debt-to-income ratio at career start</t>
  </si>
  <si>
    <t xml:space="preserve">MD best ratio; OD worst</t>
  </si>
  <si>
    <t xml:space="preserve">OD slowest due to lower salary</t>
  </si>
  <si>
    <t xml:space="preserve">Opportunity cost (lost earning years)</t>
  </si>
  <si>
    <t xml:space="preserve">MD: 11-15yr lost; OD: 4-5yr</t>
  </si>
  <si>
    <t xml:space="preserve">Cat 6: Scope of Practice &amp; Autonomy</t>
  </si>
  <si>
    <t xml:space="preserve">Legal scope (prescribe, operate, admit)</t>
  </si>
  <si>
    <t xml:space="preserve">MD: full scope; OD: most limited</t>
  </si>
  <si>
    <t xml:space="preserve">OD scope varies most by state</t>
  </si>
  <si>
    <t xml:space="preserve">Independent practice allowed</t>
  </si>
  <si>
    <t xml:space="preserve">Hospital privileges</t>
  </si>
  <si>
    <t xml:space="preserve">MD: full; OD: none</t>
  </si>
  <si>
    <t xml:space="preserve">Ability to expand scope</t>
  </si>
  <si>
    <t xml:space="preserve">OD expanding most; MD already at max</t>
  </si>
  <si>
    <t xml:space="preserve">Turf wars / political battles</t>
  </si>
  <si>
    <t xml:space="preserve">DPM/OD: significant battles</t>
  </si>
  <si>
    <t xml:space="preserve">Cat 7: Career Economics</t>
  </si>
  <si>
    <t xml:space="preserve">Practice ownership potential</t>
  </si>
  <si>
    <t xml:space="preserve">DDS: strongest ownership culture</t>
  </si>
  <si>
    <t xml:space="preserve">DDS: least insurance dependent</t>
  </si>
  <si>
    <t xml:space="preserve">Cat 10: Job Market &amp; Demand</t>
  </si>
  <si>
    <t xml:space="preserve">Current job market</t>
  </si>
  <si>
    <t xml:space="preserve">MD: severe shortage; OD: some saturation</t>
  </si>
  <si>
    <t xml:space="preserve">Projected demand 10-20 years</t>
  </si>
  <si>
    <t xml:space="preserve">MD: massive projected shortage</t>
  </si>
  <si>
    <t xml:space="preserve">All benefit; MD/DPM most</t>
  </si>
  <si>
    <t xml:space="preserve">OD: most vulnerable</t>
  </si>
  <si>
    <t xml:space="preserve">Cat 11: AI Revolution Impact</t>
  </si>
  <si>
    <t xml:space="preserve">AI impact on diagnostics vs procedures</t>
  </si>
  <si>
    <t xml:space="preserve">OD: most AI-vulnerable</t>
  </si>
  <si>
    <t xml:space="preserve">AI as tool vs replacement</t>
  </si>
  <si>
    <t xml:space="preserve">OD: partial replacement risk</t>
  </si>
  <si>
    <t xml:space="preserve">Timeline of disruption</t>
  </si>
  <si>
    <t xml:space="preserve">OD: shorter disruption timeline</t>
  </si>
  <si>
    <t xml:space="preserve">Cat 12: Professional Satisfaction</t>
  </si>
  <si>
    <t xml:space="preserve">MD: most flexible pivot options</t>
  </si>
  <si>
    <t xml:space="preserve">Cat 13: Demographics &amp; Culture</t>
  </si>
  <si>
    <t xml:space="preserve">Pay equity (gender pay gap)</t>
  </si>
  <si>
    <t xml:space="preserve">OD: smallest gap</t>
  </si>
  <si>
    <t xml:space="preserve">Parental leave norms</t>
  </si>
  <si>
    <t xml:space="preserve">OD: most predictable schedule</t>
  </si>
  <si>
    <t xml:space="preserve">Culture / old guard dynamics</t>
  </si>
  <si>
    <t xml:space="preserve">OD: most progressive</t>
  </si>
  <si>
    <t xml:space="preserve">Welcoming to non-traditional?</t>
  </si>
  <si>
    <t xml:space="preserve">DPM: most welcoming</t>
  </si>
  <si>
    <t xml:space="preserve">Cat 14: Risk Factors &amp; Downsides</t>
  </si>
  <si>
    <t xml:space="preserve">MD: highest burden</t>
  </si>
  <si>
    <t xml:space="preserve">Cat 8: Daily Life &amp; Practice Reality (PROXY — L2 pending)</t>
  </si>
  <si>
    <t xml:space="preserve">Profession-level proxy score</t>
  </si>
  <si>
    <t xml:space="preserve">Proxy: based on practice setting variety &amp; typical workday. Full scoring at L2.</t>
  </si>
  <si>
    <t xml:space="preserve">Cat 9: Lifestyle &amp; Work-Life Balance (PROXY — L2 pending)</t>
  </si>
  <si>
    <t xml:space="preserve">Proxy: MD long hours/call; OD most predictable. Full scoring at L2.</t>
  </si>
  <si>
    <t xml:space="preserve">CATEGORY AVERAGE SCORES (1-10)</t>
  </si>
  <si>
    <t xml:space="preserve">Cat#</t>
  </si>
  <si>
    <t xml:space="preserve">Category</t>
  </si>
  <si>
    <t xml:space="preserve">DPs Scored</t>
  </si>
  <si>
    <t xml:space="preserve">Pre-Professional Phase</t>
  </si>
  <si>
    <t xml:space="preserve">4 DPs</t>
  </si>
  <si>
    <t xml:space="preserve">Admissions Competitiveness</t>
  </si>
  <si>
    <t xml:space="preserve">2 DPs</t>
  </si>
  <si>
    <t xml:space="preserve">Professional School</t>
  </si>
  <si>
    <t xml:space="preserve">3 DPs</t>
  </si>
  <si>
    <t xml:space="preserve">Post-Graduate Training</t>
  </si>
  <si>
    <t xml:space="preserve">Financial Picture</t>
  </si>
  <si>
    <t xml:space="preserve">5 DPs</t>
  </si>
  <si>
    <t xml:space="preserve">Scope of Practice &amp; Autonomy</t>
  </si>
  <si>
    <t xml:space="preserve">6 DPs</t>
  </si>
  <si>
    <t xml:space="preserve">Career Economics</t>
  </si>
  <si>
    <t xml:space="preserve">Daily Life &amp; Practice Reality</t>
  </si>
  <si>
    <t xml:space="preserve">Proxy (L2 pending)</t>
  </si>
  <si>
    <t xml:space="preserve">Lifestyle &amp; Work-Life Balance</t>
  </si>
  <si>
    <t xml:space="preserve">Job Market &amp; Demand</t>
  </si>
  <si>
    <t xml:space="preserve">AI Revolution Impact</t>
  </si>
  <si>
    <t xml:space="preserve">Professional Satisfaction</t>
  </si>
  <si>
    <t xml:space="preserve">1 DPs</t>
  </si>
  <si>
    <t xml:space="preserve">Demographics &amp; Culture</t>
  </si>
  <si>
    <t xml:space="preserve">Risk Factors &amp; Downsides</t>
  </si>
  <si>
    <t xml:space="preserve">UNWEIGHTED AVERAGE (all cats)</t>
  </si>
  <si>
    <t xml:space="preserve">SCENARIO-WEIGHTED TOTAL SCORES</t>
  </si>
  <si>
    <t xml:space="preserve">Scenario</t>
  </si>
  <si>
    <t xml:space="preserve">Winner</t>
  </si>
  <si>
    <t xml:space="preserve">Default</t>
  </si>
  <si>
    <t xml:space="preserve">🏆 DDS/DMD</t>
  </si>
  <si>
    <t xml:space="preserve">Equal Weight</t>
  </si>
  <si>
    <t xml:space="preserve">Max Earnings</t>
  </si>
  <si>
    <t xml:space="preserve">Best Lifestyle</t>
  </si>
  <si>
    <t xml:space="preserve">Fastest to Practice</t>
  </si>
  <si>
    <t xml:space="preserve">🏆 OD</t>
  </si>
  <si>
    <t xml:space="preserve">Most Procedural</t>
  </si>
  <si>
    <t xml:space="preserve">FINAL RANKINGS BY SCENARIO</t>
  </si>
  <si>
    <t xml:space="preserve">🥇 1st</t>
  </si>
  <si>
    <t xml:space="preserve">🥈 2nd</t>
  </si>
  <si>
    <t xml:space="preserve">🥉 3rd</t>
  </si>
  <si>
    <t xml:space="preserve">4th</t>
  </si>
  <si>
    <t xml:space="preserve">DDS/DMD (6.3)</t>
  </si>
  <si>
    <t xml:space="preserve">OD (6.2)</t>
  </si>
  <si>
    <t xml:space="preserve">DPM (6.1)</t>
  </si>
  <si>
    <t xml:space="preserve">MD/DO (5.3)</t>
  </si>
  <si>
    <t xml:space="preserve">DDS/DMD (6.1)</t>
  </si>
  <si>
    <t xml:space="preserve">OD (6.0)</t>
  </si>
  <si>
    <t xml:space="preserve">DPM (6.0)</t>
  </si>
  <si>
    <t xml:space="preserve">MD/DO (5.1)</t>
  </si>
  <si>
    <t xml:space="preserve">DDS/DMD (6.0)</t>
  </si>
  <si>
    <t xml:space="preserve">DPM (5.6)</t>
  </si>
  <si>
    <t xml:space="preserve">OD (5.4)</t>
  </si>
  <si>
    <t xml:space="preserve">OD (6.3)</t>
  </si>
  <si>
    <t xml:space="preserve">DPM (5.9)</t>
  </si>
  <si>
    <t xml:space="preserve">MD/DO (5.2)</t>
  </si>
  <si>
    <t xml:space="preserve">OD (6.4)</t>
  </si>
  <si>
    <t xml:space="preserve">DDS/DMD (5.8)</t>
  </si>
  <si>
    <t xml:space="preserve">MD/DO (4.5)</t>
  </si>
  <si>
    <t xml:space="preserve">MD/DO (6.1)</t>
  </si>
  <si>
    <t xml:space="preserve">DPM (5.8)</t>
  </si>
  <si>
    <t xml:space="preserve">KEY INSIGHTS &amp; DECISION GATE 1 NOTES</t>
  </si>
  <si>
    <t xml:space="preserve">1. MD/DO wins "Max Earnings" and "Most Procedural" scenarios but has the longest path and highest barrier to entry.</t>
  </si>
  <si>
    <t xml:space="preserve">2. OD wins "Best Lifestyle" and "Fastest to Practice" — shortest path, best work-life balance, but lowest ceiling.</t>
  </si>
  <si>
    <t xml:space="preserve">3. DDS/DMD is the most consistent performer — never ranks last in any scenario and offers strong ownership potential.</t>
  </si>
  <si>
    <t xml:space="preserve">4. DPM offers the easiest entry path but faces the toughest reimbursement landscape and weakest prestige/pivotability.</t>
  </si>
  <si>
    <t xml:space="preserve">⚠️ FLAGS FOR DECISION GATE:</t>
  </si>
  <si>
    <t xml:space="preserve">• OD: Deteriorating economics (low reimbursement, school oversupply, AI vulnerability) despite fast/easy entry.</t>
  </si>
  <si>
    <t xml:space="preserve">• DPM: Very accessible but narrow scope, limited research/academic opportunities, and turf war stress.</t>
  </si>
  <si>
    <t xml:space="preserve">• MD/DO: Highest ceiling but 12-16yr commitment and extreme entry competition.</t>
  </si>
  <si>
    <t xml:space="preserve">• DDS: Best debt-to-opportunity balance if targeting ownership; worst raw debt numbers.</t>
  </si>
  <si>
    <t xml:space="preserve">RECOMMENDATION: All 4 professions advance to Decision Gate consideration.</t>
  </si>
  <si>
    <t xml:space="preserve">Priority research for L2: MD/DO specialty tracks and DDS specialties to compare apples-to-apples earnings/lifestyle.</t>
  </si>
  <si>
    <t xml:space="preserve">L2 SCORING — SPECIALTY-LEVEL DETAILED SCORES</t>
  </si>
  <si>
    <t xml:space="preserve">Scores are 1-10 (higher = better for candidate). L2 categories scored at specialty level; L1 categories carried from profession level.</t>
  </si>
  <si>
    <t xml:space="preserve">MD/DO — 29 Specialties (ranked by Default score)</t>
  </si>
  <si>
    <t xml:space="preserve">Mohs Surgery (Dermat</t>
  </si>
  <si>
    <t xml:space="preserve">Dermatology (General</t>
  </si>
  <si>
    <t xml:space="preserve">Ophthalmology</t>
  </si>
  <si>
    <t xml:space="preserve">Sports Medicine (Sur</t>
  </si>
  <si>
    <t xml:space="preserve">Hand Surgery</t>
  </si>
  <si>
    <t xml:space="preserve">Plastic &amp; Reconstruc</t>
  </si>
  <si>
    <t xml:space="preserve">ENT / Otolaryngology</t>
  </si>
  <si>
    <t xml:space="preserve">Interventional Pain </t>
  </si>
  <si>
    <t xml:space="preserve">Urology</t>
  </si>
  <si>
    <t xml:space="preserve">Orthopedic Surgery</t>
  </si>
  <si>
    <t xml:space="preserve">Bariatric Surgery</t>
  </si>
  <si>
    <t xml:space="preserve">Spine Surgery</t>
  </si>
  <si>
    <t xml:space="preserve">Gastroenterology (En</t>
  </si>
  <si>
    <t xml:space="preserve">Colorectal Surgery</t>
  </si>
  <si>
    <t xml:space="preserve">Diagnostic Radiology</t>
  </si>
  <si>
    <t xml:space="preserve">Psychiatry</t>
  </si>
  <si>
    <t xml:space="preserve">Anesthesiology</t>
  </si>
  <si>
    <t xml:space="preserve">Neurosurgery</t>
  </si>
  <si>
    <t xml:space="preserve">Interventional Cardi</t>
  </si>
  <si>
    <t xml:space="preserve">Interventional Radio</t>
  </si>
  <si>
    <t xml:space="preserve">Pediatric Surgery</t>
  </si>
  <si>
    <t xml:space="preserve">Vascular Surgery</t>
  </si>
  <si>
    <t xml:space="preserve">General Surgery</t>
  </si>
  <si>
    <t xml:space="preserve">Emergency Medicine</t>
  </si>
  <si>
    <t xml:space="preserve">Pulm / Critical Care</t>
  </si>
  <si>
    <t xml:space="preserve">Cardiothoracic Surge</t>
  </si>
  <si>
    <t xml:space="preserve">Transplant Surgery</t>
  </si>
  <si>
    <t xml:space="preserve">Trauma / Acute Care </t>
  </si>
  <si>
    <t xml:space="preserve">OB/GYN</t>
  </si>
  <si>
    <t xml:space="preserve">Cat 4: Post-Graduate Training (L2)</t>
  </si>
  <si>
    <t xml:space="preserve">Residency Duration</t>
  </si>
  <si>
    <t xml:space="preserve">Fellowship Burden</t>
  </si>
  <si>
    <t xml:space="preserve">Match Competitiveness</t>
  </si>
  <si>
    <t xml:space="preserve">Cat 7: Career Economics (L2)</t>
  </si>
  <si>
    <t xml:space="preserve">Starting Salary</t>
  </si>
  <si>
    <t xml:space="preserve">Mid-Career Salary</t>
  </si>
  <si>
    <t xml:space="preserve">Peak Earning</t>
  </si>
  <si>
    <t xml:space="preserve">Part-Time Flex</t>
  </si>
  <si>
    <t xml:space="preserve">Cat 8: Daily Life &amp; Practice Reality (L2)</t>
  </si>
  <si>
    <t xml:space="preserve">Procedure Mix</t>
  </si>
  <si>
    <t xml:space="preserve">Call Schedule</t>
  </si>
  <si>
    <t xml:space="preserve">Admin Burden</t>
  </si>
  <si>
    <t xml:space="preserve">Cat 9: Lifestyle &amp; Work-Life Balance (L2)</t>
  </si>
  <si>
    <t xml:space="preserve">Hours/Week</t>
  </si>
  <si>
    <t xml:space="preserve">Burnout Rate</t>
  </si>
  <si>
    <t xml:space="preserve">Part-Time Feasibility</t>
  </si>
  <si>
    <t xml:space="preserve">Career Longevity</t>
  </si>
  <si>
    <t xml:space="preserve">Malpractice Frequency</t>
  </si>
  <si>
    <t xml:space="preserve">Malpractice Cost</t>
  </si>
  <si>
    <t xml:space="preserve">Geographic Flexibility</t>
  </si>
  <si>
    <t xml:space="preserve">Cat 11: AI Revolution Impact (L2)</t>
  </si>
  <si>
    <t xml:space="preserve">Automation Risk</t>
  </si>
  <si>
    <t xml:space="preserve">Hands-On Insulation</t>
  </si>
  <si>
    <t xml:space="preserve">Cat 12: Professional Satisfaction (L2)</t>
  </si>
  <si>
    <t xml:space="preserve">Career Satisfaction</t>
  </si>
  <si>
    <t xml:space="preserve">Choose Again</t>
  </si>
  <si>
    <t xml:space="preserve">Intellectual Stim</t>
  </si>
  <si>
    <t xml:space="preserve">Variety</t>
  </si>
  <si>
    <t xml:space="preserve">Patient Impact</t>
  </si>
  <si>
    <t xml:space="preserve">Cat 14: Risk Factors &amp; Downsides (L2)</t>
  </si>
  <si>
    <t xml:space="preserve">Physical Toll</t>
  </si>
  <si>
    <t xml:space="preserve">Emotional Toll</t>
  </si>
  <si>
    <t xml:space="preserve">Malpractice Liab</t>
  </si>
  <si>
    <t xml:space="preserve">Injury Risk</t>
  </si>
  <si>
    <t xml:space="preserve">DDS/DMD — 7 Specialties (ranked by Default score)</t>
  </si>
  <si>
    <t xml:space="preserve">Periodontics</t>
  </si>
  <si>
    <t xml:space="preserve">Prosthodontics</t>
  </si>
  <si>
    <t xml:space="preserve">Endodontics</t>
  </si>
  <si>
    <t xml:space="preserve">General Dentistry</t>
  </si>
  <si>
    <t xml:space="preserve">Pediatric Dentistry</t>
  </si>
  <si>
    <t xml:space="preserve">Orthodontics</t>
  </si>
  <si>
    <t xml:space="preserve">Oral &amp; Maxillofacial</t>
  </si>
  <si>
    <t xml:space="preserve">DPM — 3 Specialties (ranked by Default score)</t>
  </si>
  <si>
    <t xml:space="preserve">Podiatric Surgery (F</t>
  </si>
  <si>
    <t xml:space="preserve">Sports Medicine / Bi</t>
  </si>
  <si>
    <t xml:space="preserve">Wound Care / Diabeti</t>
  </si>
  <si>
    <t xml:space="preserve">OD — 3 Specialties (ranked by Default score)</t>
  </si>
  <si>
    <t xml:space="preserve">Medical / Therapeuti</t>
  </si>
  <si>
    <t xml:space="preserve">General Optometry</t>
  </si>
  <si>
    <t xml:space="preserve">Surgical Co-Manageme</t>
  </si>
  <si>
    <t xml:space="preserve">COMPOSITE CATEGORY SCORES (L1 Shared + L2 Specialty)</t>
  </si>
  <si>
    <t xml:space="preserve">L1 Shared = profession-level scores carried forward (Cats 1-3, 5-6, 10, 13). L2 = specialty-specific scores.</t>
  </si>
  <si>
    <t xml:space="preserve">Rank</t>
  </si>
  <si>
    <t xml:space="preserve">Profession</t>
  </si>
  <si>
    <t xml:space="preserve">Specialty</t>
  </si>
  <si>
    <t xml:space="preserve">1.Pre</t>
  </si>
  <si>
    <t xml:space="preserve">2.Adm</t>
  </si>
  <si>
    <t xml:space="preserve">3.Sch</t>
  </si>
  <si>
    <t xml:space="preserve">4.PGT</t>
  </si>
  <si>
    <t xml:space="preserve">5.Fin</t>
  </si>
  <si>
    <t xml:space="preserve">6.Scope</t>
  </si>
  <si>
    <t xml:space="preserve">7.Econ</t>
  </si>
  <si>
    <t xml:space="preserve">8.Daily</t>
  </si>
  <si>
    <t xml:space="preserve">9.Life</t>
  </si>
  <si>
    <t xml:space="preserve">10.Mkt</t>
  </si>
  <si>
    <t xml:space="preserve">11.AI</t>
  </si>
  <si>
    <t xml:space="preserve">12.Sat</t>
  </si>
  <si>
    <t xml:space="preserve">13.Demo</t>
  </si>
  <si>
    <t xml:space="preserve">14.Risk</t>
  </si>
  <si>
    <t xml:space="preserve">Unwt Avg</t>
  </si>
  <si>
    <t xml:space="preserve">Mohs Surgery (Dermatology)</t>
  </si>
  <si>
    <t xml:space="preserve">Podiatric Surgery (Foot &amp; Ankle)</t>
  </si>
  <si>
    <t xml:space="preserve">Sports Medicine / Biomechanics</t>
  </si>
  <si>
    <t xml:space="preserve">Wound Care / Diabetic Limb Salvage</t>
  </si>
  <si>
    <t xml:space="preserve">Dermatology (General/Medical)</t>
  </si>
  <si>
    <t xml:space="preserve">Sports Medicine (Surgical)</t>
  </si>
  <si>
    <t xml:space="preserve">Plastic &amp; Reconstructive Surgery</t>
  </si>
  <si>
    <t xml:space="preserve">Interventional Pain Medicine</t>
  </si>
  <si>
    <t xml:space="preserve">Medical / Therapeutic Optometry</t>
  </si>
  <si>
    <t xml:space="preserve">Gastroenterology (Endoscopy)</t>
  </si>
  <si>
    <t xml:space="preserve">Oral &amp; Maxillofacial Surgery</t>
  </si>
  <si>
    <t xml:space="preserve">Surgical Co-Management / Specialty</t>
  </si>
  <si>
    <t xml:space="preserve">Interventional Cardiology</t>
  </si>
  <si>
    <t xml:space="preserve">Interventional Radiology</t>
  </si>
  <si>
    <t xml:space="preserve">Cardiothoracic Surgery</t>
  </si>
  <si>
    <t xml:space="preserve">Trauma / Acute Care Surgery</t>
  </si>
  <si>
    <t xml:space="preserve">SCENARIO-WEIGHTED TOTAL SCORES — TOP 15</t>
  </si>
  <si>
    <t xml:space="preserve">Avg Rank</t>
  </si>
  <si>
    <t xml:space="preserve">Scenarios Won</t>
  </si>
  <si>
    <t xml:space="preserve">TOP 5 BY EACH SCENARIO</t>
  </si>
  <si>
    <t xml:space="preserve">🥇</t>
  </si>
  <si>
    <t xml:space="preserve">🥈</t>
  </si>
  <si>
    <t xml:space="preserve">🥉</t>
  </si>
  <si>
    <t xml:space="preserve">5th</t>
  </si>
  <si>
    <t xml:space="preserve">WITHIN-PROFESSION SPECIALTY RANKINGS (Default Scenario)</t>
  </si>
  <si>
    <t xml:space="preserve">MD/DO (29 tracks)</t>
  </si>
  <si>
    <t xml:space="preserve">Best Scenario</t>
  </si>
  <si>
    <t xml:space="preserve">Best Score</t>
  </si>
  <si>
    <t xml:space="preserve">Strengths</t>
  </si>
  <si>
    <t xml:space="preserve">Life(8.6), Daily(8.3), Econ(7.7)</t>
  </si>
  <si>
    <t xml:space="preserve">Life(8.6), Risk(8.0), Sat(7.6)</t>
  </si>
  <si>
    <t xml:space="preserve">Sat(8.1), AI(7.5), Life(7.3)</t>
  </si>
  <si>
    <t xml:space="preserve">AI(8.5), Sat(7.7), Life(6.7)</t>
  </si>
  <si>
    <t xml:space="preserve">AI(9.5), Sat(7.6), Econ(6.2)</t>
  </si>
  <si>
    <t xml:space="preserve">AI(8.5), Sat(8.2), Econ(6.7)</t>
  </si>
  <si>
    <t xml:space="preserve">AI(8.5), Sat(8.2), Life(6.4)</t>
  </si>
  <si>
    <t xml:space="preserve">Life(7.2), Daily(6.7), AI(6.5)</t>
  </si>
  <si>
    <t xml:space="preserve">AI(8.0), Sat(7.8), Life(6.0)</t>
  </si>
  <si>
    <t xml:space="preserve">AI(9.5), Sat(7.2), Econ(6.5)</t>
  </si>
  <si>
    <t xml:space="preserve">AI(7.5), Sat(6.6), Life(6.3)</t>
  </si>
  <si>
    <t xml:space="preserve">AI(9.0), Econ(7.9), Sat(7.0)</t>
  </si>
  <si>
    <t xml:space="preserve">AI(7.0), Sat(6.9), Life(6.2)</t>
  </si>
  <si>
    <t xml:space="preserve">AI(8.5), Sat(6.3), Daily(5.7)</t>
  </si>
  <si>
    <t xml:space="preserve">Life(7.3), Risk(7.2), Sat(6.6)</t>
  </si>
  <si>
    <t xml:space="preserve">Life(7.7), Risk(6.8), Sat(6.7)</t>
  </si>
  <si>
    <t xml:space="preserve">Sat(6.0), PGT(6.0), AI(6.0)</t>
  </si>
  <si>
    <t xml:space="preserve">AI(9.5), Sat(8.0), Econ(8.0)</t>
  </si>
  <si>
    <t xml:space="preserve">AI(8.0), Sat(7.5), Econ(6.6)</t>
  </si>
  <si>
    <t xml:space="preserve">AI(8.0), Sat(8.0), Econ(5.3)</t>
  </si>
  <si>
    <t xml:space="preserve">AI(9.5), Sat(8.1), Daily(4.7)</t>
  </si>
  <si>
    <t xml:space="preserve">AI(8.5), Sat(7.2), Econ(5.4)</t>
  </si>
  <si>
    <t xml:space="preserve">AI(8.5), Sat(6.7), PGT(5.3)</t>
  </si>
  <si>
    <t xml:space="preserve">PGT(6.5), AI(5.5), Life(5.5)</t>
  </si>
  <si>
    <t xml:space="preserve">Sat(6.8), AI(6.5), PGT(5.3)</t>
  </si>
  <si>
    <t xml:space="preserve">AI(9.0), Sat(7.2), Econ(6.4)</t>
  </si>
  <si>
    <t xml:space="preserve">AI(9.5), Sat(7.6), Econ(4.4)</t>
  </si>
  <si>
    <t xml:space="preserve">AI(9.5), Sat(7.0), PGT(4.7)</t>
  </si>
  <si>
    <t xml:space="preserve">AI(7.5), Sat(6.4), PGT(5.7)</t>
  </si>
  <si>
    <t xml:space="preserve">DDS/DMD (7 tracks)</t>
  </si>
  <si>
    <t xml:space="preserve">AI(8.5), Life(8.4), Daily(7.3)</t>
  </si>
  <si>
    <t xml:space="preserve">Life(8.4), AI(8.0), Daily(7.3)</t>
  </si>
  <si>
    <t xml:space="preserve">AI(8.5), Daily(8.0), Life(7.9)</t>
  </si>
  <si>
    <t xml:space="preserve">PGT(9.0), Life(8.5), AI(7.5)</t>
  </si>
  <si>
    <t xml:space="preserve">AI(8.0), Life(7.7), Daily(7.0)</t>
  </si>
  <si>
    <t xml:space="preserve">Life(8.7), Risk(6.8), Daily(6.7)</t>
  </si>
  <si>
    <t xml:space="preserve">AI(9.5), Sat(8.1), Econ(5.0)</t>
  </si>
  <si>
    <t xml:space="preserve">DPM (3 tracks)</t>
  </si>
  <si>
    <t xml:space="preserve">AI(8.5), PGT(7.0), Life(6.2)</t>
  </si>
  <si>
    <t xml:space="preserve">Life(8.2), PGT(7.3), Risk(7.2)</t>
  </si>
  <si>
    <t xml:space="preserve">PGT(8.0), AI(7.5), Life(6.5)</t>
  </si>
  <si>
    <t xml:space="preserve">OD (3 tracks)</t>
  </si>
  <si>
    <t xml:space="preserve">PGT(8.7), Life(8.1), Risk(7.8)</t>
  </si>
  <si>
    <t xml:space="preserve">PGT(9.3), Life(8.4), Risk(8.2)</t>
  </si>
  <si>
    <t xml:space="preserve">PGT(8.7), Risk(8.2), Life(8.1)</t>
  </si>
  <si>
    <t xml:space="preserve">DECISION GATE 2 — PHASE 4 ADVANCEMENT</t>
  </si>
  <si>
    <t xml:space="preserve">TRACKS ADVANCING TO PHASE 4 (FINALS):</t>
  </si>
  <si>
    <t xml:space="preserve">✅ 1. [MD/DO] Mohs Surgery (Dermatology) — Avg Rank: 3.5 | Default: 6.46 | Wins 4 scenario(s)</t>
  </si>
  <si>
    <t xml:space="preserve">✅ 2. [MD/DO] Dermatology (General/Medical) — Avg Rank: 7.2 | Default: 6.13 | Top 3 in 1 scenario(s)</t>
  </si>
  <si>
    <t xml:space="preserve">✅ 3. [DPM] Podiatric Surgery (Foot &amp; Ankle) — Avg Rank: 7.8 | Default: 6.22 | Top 3 in 3 scenario(s)</t>
  </si>
  <si>
    <t xml:space="preserve">✅ 4. [DDS/DMD] Periodontics — Avg Rank: 9.0 | Default: 6.09 | Top 3 in 1 scenario(s)</t>
  </si>
  <si>
    <t xml:space="preserve">✅ 5. [DDS/DMD] Prosthodontics — Avg Rank: 9.2 | Default: 6.08 | Top 3 in 1 scenario(s)</t>
  </si>
  <si>
    <t xml:space="preserve">KEY INSIGHTS &amp; ANALYSIS:</t>
  </si>
  <si>
    <t xml:space="preserve">1. Mohs Surgery (MD/DO) dominates — wins 4 of 6 scenarios. Exceptional lifestyle (45hr/wk, 22% burnout), top-tier earnings ($600K-$1M peak), and no call. The catch: derm residency is the single hardest match in medicine (match rate ~1), adding 5-6yr fellowship.</t>
  </si>
  <si>
    <t xml:space="preserve">2. Dermatology General (MD/DO) offers similar lifestyle advantages with more geographic flexibility and broader practice scope, but lower peak earnings than Mohs. Shares the same brutal admissions bottleneck.</t>
  </si>
  <si>
    <t xml:space="preserve">3. DPM tracks rank highly due to easy entry (Cat 1-2 scores of 7-9) and short training, but ceiling is lower — peak earnings $350-500K vs. $700K-1.2M for top MD specialties. Best for "Fastest to Practice" optimization.</t>
  </si>
  <si>
    <t xml:space="preserve">4. DDS/DMD specialties (Periodontics, Endodontics, Prosthodontics) cluster together in the mid-range — excellent lifestyle and good earnings, but dragged down by high debt and moderate L1 scores.</t>
  </si>
  <si>
    <t xml:space="preserve">5. Surgical MD specialties (Ortho, Plastics, Spine) rank lower in composite due to brutal training (L1 penalty) despite having the highest raw earning potential. They only shine in "Max Earnings" and "Most Procedural" scenarios.</t>
  </si>
  <si>
    <t xml:space="preserve">6. OD tracks rank in the bottom quartile across all scenarios — low earnings ($140-220K peak), AI vulnerability, and narrowing scope offset the fast/easy entry advantage.</t>
  </si>
  <si>
    <t xml:space="preserve">⚠️ FLAGS FOR DECISION GATE 2:</t>
  </si>
  <si>
    <t xml:space="preserve">• MATCH BOTTLENECK: The top 2 tracks (Mohs, General Derm) both require winning the hardest match in all of medicine — ~1-2% acceptance to derm residency. This is a massive execution risk that scoring alone doesn't capture.</t>
  </si>
  <si>
    <t xml:space="preserve">• DPM CEILING RISK: All 3 DPM tracks rank in the top 10, but this is driven by easy-entry L1 scores. The L2-specific economics (Cat 7) are the weakest of any advancing profession. Phase 4 should stress-test whether the fast path compensates for the lower ceiling.</t>
  </si>
  <si>
    <t xml:space="preserve">• MD SURGICAL DARK HORSES: Ophthalmology and Plastics/Hand didn't crack the composite top 5 but dominate in Max Earnings scenarios. If the candidate's risk tolerance is high and timeline isn't a constraint, these deserve Phase 4 consideration.</t>
  </si>
  <si>
    <t xml:space="preserve">• OD ELIMINATION: All 3 OD tracks fall in the bottom 10 across most scenarios. OD should not advance to Phase 4 absent a compelling personal reason (e.g., vision care passion, family practice).</t>
  </si>
  <si>
    <t xml:space="preserve">RECOMMENDATION: Advance the top 5 tracks listed above. Additionally, include Ophthalmology (MD/DO) as a 6th "wild card" for its strong Max Earnings and Lifestyle profile despite lower composite ranking.</t>
  </si>
  <si>
    <t xml:space="preserve">Specialty / Track</t>
  </si>
  <si>
    <t xml:space="preserve">Layer 2 Category</t>
  </si>
  <si>
    <t xml:space="preserve">Procedural Intensity</t>
  </si>
  <si>
    <t xml:space="preserve">Status</t>
  </si>
  <si>
    <t xml:space="preserve">Core Surgical</t>
  </si>
  <si>
    <t xml:space="preserve">High</t>
  </si>
  <si>
    <t xml:space="preserve">Active</t>
  </si>
  <si>
    <t xml:space="preserve">Surgical Subspecialty</t>
  </si>
  <si>
    <t xml:space="preserve">Procedural Non-Surgeon</t>
  </si>
  <si>
    <t xml:space="preserve">Medium-High</t>
  </si>
  <si>
    <t xml:space="preserve">Medium</t>
  </si>
  <si>
    <t xml:space="preserve">Non-Procedural Context</t>
  </si>
  <si>
    <t xml:space="preserve">Low</t>
  </si>
  <si>
    <t xml:space="preserve">Low-Medium</t>
  </si>
  <si>
    <t xml:space="preserve">Dental Specialty</t>
  </si>
  <si>
    <t xml:space="preserve">Dental Baseline</t>
  </si>
  <si>
    <t xml:space="preserve">Podiatry Track</t>
  </si>
  <si>
    <t xml:space="preserve">Optometry Track</t>
  </si>
  <si>
    <t xml:space="preserve">Optometry Baseline</t>
  </si>
  <si>
    <t xml:space="preserve">Layer</t>
  </si>
  <si>
    <t xml:space="preserve">Data Type</t>
  </si>
  <si>
    <t xml:space="preserve">Decision Weight</t>
  </si>
  <si>
    <t xml:space="preserve">Scoring Rubric Notes</t>
  </si>
  <si>
    <t xml:space="preserve">1. Pre-Professional Phase</t>
  </si>
  <si>
    <t xml:space="preserve">L1</t>
  </si>
  <si>
    <t xml:space="preserve">Qualitative</t>
  </si>
  <si>
    <t xml:space="preserve">Reference</t>
  </si>
  <si>
    <t xml:space="preserve">Describe specific requirements per profession</t>
  </si>
  <si>
    <t xml:space="preserve">Quantitative</t>
  </si>
  <si>
    <t xml:space="preserve">Decision</t>
  </si>
  <si>
    <t xml:space="preserve">Years: fewer = better score</t>
  </si>
  <si>
    <t xml:space="preserve">Name of test (MCAT, DAT, OAT, etc.)</t>
  </si>
  <si>
    <t xml:space="preserve">Test difficulty / average competitive scores</t>
  </si>
  <si>
    <t xml:space="preserve">Scale 1-10</t>
  </si>
  <si>
    <t xml:space="preserve">10=easiest to achieve competitive score</t>
  </si>
  <si>
    <t xml:space="preserve">Typical admitted GPA ranges</t>
  </si>
  <si>
    <t xml:space="preserve">10=minimal extras needed, 1=years of research/volunteering required</t>
  </si>
  <si>
    <t xml:space="preserve">Yes/No + prevalence</t>
  </si>
  <si>
    <t xml:space="preserve">2. Admissions Competitiveness</t>
  </si>
  <si>
    <t xml:space="preserve">Raw number</t>
  </si>
  <si>
    <t xml:space="preserve">Higher % = easier = higher score</t>
  </si>
  <si>
    <t xml:space="preserve">Indicates how many schools people apply to</t>
  </si>
  <si>
    <t xml:space="preserve">% who apply more than once</t>
  </si>
  <si>
    <t xml:space="preserve">10=very welcoming, 1=strongly favors traditional path</t>
  </si>
  <si>
    <t xml:space="preserve">How much do these factors matter?</t>
  </si>
  <si>
    <t xml:space="preserve">3. Professional School</t>
  </si>
  <si>
    <t xml:space="preserve">MD, DO, DDS, DMD, DPM, OD</t>
  </si>
  <si>
    <t xml:space="preserve">Fewer years = higher score</t>
  </si>
  <si>
    <t xml:space="preserve">Year-by-year breakdown</t>
  </si>
  <si>
    <t xml:space="preserve">Earlier = higher score</t>
  </si>
  <si>
    <t xml:space="preserve">Name, timing, pass rates</t>
  </si>
  <si>
    <t xml:space="preserve">% who don't finish</t>
  </si>
  <si>
    <t xml:space="preserve">Average students per class</t>
  </si>
  <si>
    <t xml:space="preserve">More schools = more options</t>
  </si>
  <si>
    <t xml:space="preserve">10=prestige irrelevant, 1=school name is everything</t>
  </si>
  <si>
    <t xml:space="preserve">4. Post-Graduate Training</t>
  </si>
  <si>
    <t xml:space="preserve">Yes/No</t>
  </si>
  <si>
    <t xml:space="preserve">Residency duration by specialty</t>
  </si>
  <si>
    <t xml:space="preserve">L2</t>
  </si>
  <si>
    <t xml:space="preserve">Years; fewer = higher score</t>
  </si>
  <si>
    <t xml:space="preserve">Fellowship options and duration</t>
  </si>
  <si>
    <t xml:space="preserve">Additional years if applicable</t>
  </si>
  <si>
    <t xml:space="preserve">NRMP, dental match, etc.</t>
  </si>
  <si>
    <t xml:space="preserve">Competitiveness of match by specialty</t>
  </si>
  <si>
    <t xml:space="preserve">10=easy to match, 1=ultra competitive</t>
  </si>
  <si>
    <t xml:space="preserve">Annual salary range during training</t>
  </si>
  <si>
    <t xml:space="preserve">Yes/No + typical</t>
  </si>
  <si>
    <t xml:space="preserve">Requirements, timeline</t>
  </si>
  <si>
    <t xml:space="preserve">BOTH</t>
  </si>
  <si>
    <t xml:space="preserve">Fastest path vs. longest subspecialty</t>
  </si>
  <si>
    <t xml:space="preserve">5. Financial Picture</t>
  </si>
  <si>
    <t xml:space="preserve">In-state, out-of-state, private ranges</t>
  </si>
  <si>
    <t xml:space="preserve">Lower = higher score</t>
  </si>
  <si>
    <t xml:space="preserve">10=abundant options, 1=very few</t>
  </si>
  <si>
    <t xml:space="preserve">Annual range</t>
  </si>
  <si>
    <t xml:space="preserve">Years until net worth goes positive</t>
  </si>
  <si>
    <t xml:space="preserve">PSLF, NHSC, military, etc.</t>
  </si>
  <si>
    <t xml:space="preserve">Compared to working with bachelor's</t>
  </si>
  <si>
    <t xml:space="preserve">6. Scope of Practice &amp; Autonomy</t>
  </si>
  <si>
    <t xml:space="preserve">Broader scope = higher score</t>
  </si>
  <si>
    <t xml:space="preserve">10=consistent nationwide, 1=wildly variable</t>
  </si>
  <si>
    <t xml:space="preserve">Independent = higher score</t>
  </si>
  <si>
    <t xml:space="preserve">Full access = higher score</t>
  </si>
  <si>
    <t xml:space="preserve">10=many pathways, 1=fixed</t>
  </si>
  <si>
    <t xml:space="preserve">10=no turf issues, 1=constant battles</t>
  </si>
  <si>
    <t xml:space="preserve">Describes referral ecosystem</t>
  </si>
  <si>
    <t xml:space="preserve">7. Career Economics</t>
  </si>
  <si>
    <t xml:space="preserve">Starting salary by specialty</t>
  </si>
  <si>
    <t xml:space="preserve">Higher = higher score</t>
  </si>
  <si>
    <t xml:space="preserve">Mid-career salary range</t>
  </si>
  <si>
    <t xml:space="preserve">Peak earning potential</t>
  </si>
  <si>
    <t xml:space="preserve">Ceiling matters for long-term</t>
  </si>
  <si>
    <t xml:space="preserve">Compensation models (salary, RVU, ownership, hybrid)</t>
  </si>
  <si>
    <t xml:space="preserve">Describes how you get paid</t>
  </si>
  <si>
    <t xml:space="preserve">10=easy to own, 1=nearly impossible</t>
  </si>
  <si>
    <t xml:space="preserve">10=rising/stable, 1=declining fast</t>
  </si>
  <si>
    <t xml:space="preserve">Revenue per patient visit (procedural vs. cognitive)</t>
  </si>
  <si>
    <t xml:space="preserve">Indicator of earning efficiency</t>
  </si>
  <si>
    <t xml:space="preserve">Part-time / flexible earning potential</t>
  </si>
  <si>
    <t xml:space="preserve">10=great part-time income, 1=all-or-nothing</t>
  </si>
  <si>
    <t xml:space="preserve">8. Daily Life &amp; Practice Reality</t>
  </si>
  <si>
    <t xml:space="preserve">Typical daily workflow description</t>
  </si>
  <si>
    <t xml:space="preserve">What does a Tuesday look like?</t>
  </si>
  <si>
    <t xml:space="preserve">Patient volume per day</t>
  </si>
  <si>
    <t xml:space="preserve">Average number of patients/cases</t>
  </si>
  <si>
    <t xml:space="preserve">Procedure mix (% procedures vs. exams vs. paperwork)</t>
  </si>
  <si>
    <t xml:space="preserve">10=mostly procedures, 1=mostly paperwork</t>
  </si>
  <si>
    <t xml:space="preserve">Call schedule expectations</t>
  </si>
  <si>
    <t xml:space="preserve">10=no call, 1=heavy call</t>
  </si>
  <si>
    <t xml:space="preserve">Administrative burden</t>
  </si>
  <si>
    <t xml:space="preserve">10=minimal admin, 1=drowning in paperwork</t>
  </si>
  <si>
    <t xml:space="preserve">Support staff model (team size)</t>
  </si>
  <si>
    <t xml:space="preserve">How big is your support team?</t>
  </si>
  <si>
    <t xml:space="preserve">Hospital, private, academic, group, etc.</t>
  </si>
  <si>
    <t xml:space="preserve">9. Lifestyle &amp; Work-Life Balance</t>
  </si>
  <si>
    <t xml:space="preserve">Average hours per week</t>
  </si>
  <si>
    <t xml:space="preserve">Fewer = higher score</t>
  </si>
  <si>
    <t xml:space="preserve">Burnout rates</t>
  </si>
  <si>
    <t xml:space="preserve">Flexibility to go part-time</t>
  </si>
  <si>
    <t xml:space="preserve">10=easy, 1=impossible</t>
  </si>
  <si>
    <t xml:space="preserve">Vacation time (typical)</t>
  </si>
  <si>
    <t xml:space="preserve">Weeks per year</t>
  </si>
  <si>
    <t xml:space="preserve">Career longevity (how long can you do this?)</t>
  </si>
  <si>
    <t xml:space="preserve">10=work to 70+, 1=burns out by 50</t>
  </si>
  <si>
    <t xml:space="preserve">Malpractice litigation frequency</t>
  </si>
  <si>
    <t xml:space="preserve">10=rarely sued, 1=frequent target</t>
  </si>
  <si>
    <t xml:space="preserve">Malpractice insurance costs</t>
  </si>
  <si>
    <t xml:space="preserve">Annual premium ranges</t>
  </si>
  <si>
    <t xml:space="preserve">Geographic flexibility</t>
  </si>
  <si>
    <t xml:space="preserve">10=practice anywhere, 1=limited markets</t>
  </si>
  <si>
    <t xml:space="preserve">10. Job Market &amp; Demand</t>
  </si>
  <si>
    <t xml:space="preserve">10=severe shortage, 1=oversaturated</t>
  </si>
  <si>
    <t xml:space="preserve">10=growing fast, 1=shrinking</t>
  </si>
  <si>
    <t xml:space="preserve">Geographic demand variation (rural vs. urban)</t>
  </si>
  <si>
    <t xml:space="preserve">Where is demand highest?</t>
  </si>
  <si>
    <t xml:space="preserve">How does demographics affect demand?</t>
  </si>
  <si>
    <t xml:space="preserve">10=no threat, 1=high encroachment risk</t>
  </si>
  <si>
    <t xml:space="preserve">Telehealth potential and relevance</t>
  </si>
  <si>
    <t xml:space="preserve">10=highly telehealth-friendly, 1=impossible remote</t>
  </si>
  <si>
    <t xml:space="preserve">11. AI Revolution Impact</t>
  </si>
  <si>
    <t xml:space="preserve">10=AI-proof, 1=high replacement risk</t>
  </si>
  <si>
    <t xml:space="preserve">Automation risk for routine vs. complex procedures</t>
  </si>
  <si>
    <t xml:space="preserve">10=impossible to automate, 1=easily automated</t>
  </si>
  <si>
    <t xml:space="preserve">Will AI help you or replace you?</t>
  </si>
  <si>
    <t xml:space="preserve">Shorter timeline = lower score</t>
  </si>
  <si>
    <t xml:space="preserve">Insulation by hands-on factor</t>
  </si>
  <si>
    <t xml:space="preserve">10=hands-on makes you safe, 1=hands-on irrelevant</t>
  </si>
  <si>
    <t xml:space="preserve">10=heavy regulation protects you, 1=few barriers</t>
  </si>
  <si>
    <t xml:space="preserve">12. Professional Satisfaction</t>
  </si>
  <si>
    <t xml:space="preserve">Career satisfaction survey data</t>
  </si>
  <si>
    <t xml:space="preserve">% satisfied; higher = higher score</t>
  </si>
  <si>
    <t xml:space="preserve">'Would you choose this again?' rates</t>
  </si>
  <si>
    <t xml:space="preserve">% who say yes</t>
  </si>
  <si>
    <t xml:space="preserve">10=highest prestige, 1=lowest</t>
  </si>
  <si>
    <t xml:space="preserve">Intellectual stimulation over time</t>
  </si>
  <si>
    <t xml:space="preserve">10=always learning, 1=repetitive quickly</t>
  </si>
  <si>
    <t xml:space="preserve">Variety vs. repetition in daily work</t>
  </si>
  <si>
    <t xml:space="preserve">10=high variety, 1=same thing daily</t>
  </si>
  <si>
    <t xml:space="preserve">Impact on patients' lives</t>
  </si>
  <si>
    <t xml:space="preserve">10=life-changing impact, 1=minimal impact</t>
  </si>
  <si>
    <t xml:space="preserve">10=abundant, 1=rare</t>
  </si>
  <si>
    <t xml:space="preserve">10=many exit options, 1=very narrow</t>
  </si>
  <si>
    <t xml:space="preserve">13. Demographics &amp; Culture</t>
  </si>
  <si>
    <t xml:space="preserve">% female in profession</t>
  </si>
  <si>
    <t xml:space="preserve">Which way is it shifting?</t>
  </si>
  <si>
    <t xml:space="preserve">Gender distribution across subspecialties</t>
  </si>
  <si>
    <t xml:space="preserve">Which specialties skew which way?</t>
  </si>
  <si>
    <t xml:space="preserve">Smaller gap = higher score</t>
  </si>
  <si>
    <t xml:space="preserve">10=very supportive, 1=punitive</t>
  </si>
  <si>
    <t xml:space="preserve">10=abundant, 1=scarce</t>
  </si>
  <si>
    <t xml:space="preserve">Culture and 'old guard' dynamics</t>
  </si>
  <si>
    <t xml:space="preserve">10=progressive/evolving, 1=entrenched</t>
  </si>
  <si>
    <t xml:space="preserve">General landscape</t>
  </si>
  <si>
    <t xml:space="preserve">10=very welcoming, 1=hostile to non-traditional</t>
  </si>
  <si>
    <t xml:space="preserve">14. Risk Factors &amp; Downsides</t>
  </si>
  <si>
    <t xml:space="preserve">Physical toll on body</t>
  </si>
  <si>
    <t xml:space="preserve">10=minimal toll, 1=severe physical demands</t>
  </si>
  <si>
    <t xml:space="preserve">Emotional toll</t>
  </si>
  <si>
    <t xml:space="preserve">10=low emotional burden, 1=heavy trauma exposure</t>
  </si>
  <si>
    <t xml:space="preserve">Malpractice liability exposure</t>
  </si>
  <si>
    <t xml:space="preserve">10=low risk, 1=highest risk</t>
  </si>
  <si>
    <t xml:space="preserve">10=light regulation, 1=heavy/increasing</t>
  </si>
  <si>
    <t xml:space="preserve">Hours, costs, frequency</t>
  </si>
  <si>
    <t xml:space="preserve">How often, how expensive</t>
  </si>
  <si>
    <t xml:space="preserve">Risk of career disruption from injury</t>
  </si>
  <si>
    <t xml:space="preserve">10=low risk, 1=career-ending if hands injured</t>
  </si>
  <si>
    <t xml:space="preserve"># Decision Data Points</t>
  </si>
  <si>
    <t xml:space="preserve">Default Weight (%)</t>
  </si>
  <si>
    <t xml:space="preserve">Your Weight (%)</t>
  </si>
  <si>
    <t xml:space="preserve">Notes</t>
  </si>
  <si>
    <t xml:space="preserve">Barrier to entry — how hard to start?</t>
  </si>
  <si>
    <t xml:space="preserve">Can you realistically get in?</t>
  </si>
  <si>
    <t xml:space="preserve">What's the school experience like?</t>
  </si>
  <si>
    <t xml:space="preserve">How long and hard is the road after school?</t>
  </si>
  <si>
    <t xml:space="preserve">Cost, debt, and time to financial freedom</t>
  </si>
  <si>
    <t xml:space="preserve">What can you actually do independently?</t>
  </si>
  <si>
    <t xml:space="preserve">How much do you earn over a career?</t>
  </si>
  <si>
    <t xml:space="preserve">What does the work actually feel like?</t>
  </si>
  <si>
    <t xml:space="preserve">Can you have a life outside work?</t>
  </si>
  <si>
    <t xml:space="preserve">Will you find work? Is demand growing?</t>
  </si>
  <si>
    <t xml:space="preserve">How future-proof is this career?</t>
  </si>
  <si>
    <t xml:space="preserve">Will you enjoy this long-term?</t>
  </si>
  <si>
    <t xml:space="preserve">Who are your colleagues? Culture fit?</t>
  </si>
  <si>
    <t xml:space="preserve">What are the hidden costs and dangers?</t>
  </si>
  <si>
    <t xml:space="preserve">TOTAL</t>
  </si>
  <si>
    <t xml:space="preserve">Your Custom</t>
  </si>
  <si>
    <t xml:space="preserve">Phase</t>
  </si>
  <si>
    <t xml:space="preserve">Step</t>
  </si>
  <si>
    <t xml:space="preserve">Description</t>
  </si>
  <si>
    <t xml:space="preserve">Deliverable</t>
  </si>
  <si>
    <t xml:space="preserve">Session</t>
  </si>
  <si>
    <t xml:space="preserve">Phase 1</t>
  </si>
  <si>
    <t xml:space="preserve">1.1</t>
  </si>
  <si>
    <t xml:space="preserve">Finalize career tracks list</t>
  </si>
  <si>
    <t xml:space="preserve">Career Tracks sheet</t>
  </si>
  <si>
    <t xml:space="preserve">Session 1</t>
  </si>
  <si>
    <t xml:space="preserve">✅ Complete</t>
  </si>
  <si>
    <t xml:space="preserve">1.2</t>
  </si>
  <si>
    <t xml:space="preserve">Tag all 90+ data points (layer, type, weight)</t>
  </si>
  <si>
    <t xml:space="preserve">Data Points Framework sheet</t>
  </si>
  <si>
    <t xml:space="preserve">1.3</t>
  </si>
  <si>
    <t xml:space="preserve">Build scoring framework &amp; scenario profiles</t>
  </si>
  <si>
    <t xml:space="preserve">Category Weights + Scenarios sheets</t>
  </si>
  <si>
    <t xml:space="preserve">Phase 2</t>
  </si>
  <si>
    <t xml:space="preserve">2.1</t>
  </si>
  <si>
    <t xml:space="preserve">Research L1 data: Pre-Professional Phase</t>
  </si>
  <si>
    <t xml:space="preserve">L1 Matrix (Cat 1)</t>
  </si>
  <si>
    <t xml:space="preserve">Session 2</t>
  </si>
  <si>
    <t xml:space="preserve">2.2</t>
  </si>
  <si>
    <t xml:space="preserve">Research L1 data: Admissions Competitiveness</t>
  </si>
  <si>
    <t xml:space="preserve">L1 Matrix (Cat 2)</t>
  </si>
  <si>
    <t xml:space="preserve">2.3</t>
  </si>
  <si>
    <t xml:space="preserve">Research L1 data: Professional School</t>
  </si>
  <si>
    <t xml:space="preserve">L1 Matrix (Cat 3)</t>
  </si>
  <si>
    <t xml:space="preserve">2.4</t>
  </si>
  <si>
    <t xml:space="preserve">Research L1 data: Post-Graduate Training</t>
  </si>
  <si>
    <t xml:space="preserve">L1 Matrix (Cat 4)</t>
  </si>
  <si>
    <t xml:space="preserve">2.5</t>
  </si>
  <si>
    <t xml:space="preserve">Research L1 data: Financial Picture</t>
  </si>
  <si>
    <t xml:space="preserve">L1 Matrix (Cat 5)</t>
  </si>
  <si>
    <t xml:space="preserve">Session 2-3</t>
  </si>
  <si>
    <t xml:space="preserve">2.6</t>
  </si>
  <si>
    <t xml:space="preserve">Research L1 data: Scope &amp; Autonomy</t>
  </si>
  <si>
    <t xml:space="preserve">L1 Matrix (Cat 6)</t>
  </si>
  <si>
    <t xml:space="preserve">2.7</t>
  </si>
  <si>
    <t xml:space="preserve">Research L1 data: Career Economics</t>
  </si>
  <si>
    <t xml:space="preserve">L1 Matrix (Cat 7)</t>
  </si>
  <si>
    <t xml:space="preserve">2.8</t>
  </si>
  <si>
    <t xml:space="preserve">Research L1 data: Daily Life &amp; Practice Reality</t>
  </si>
  <si>
    <t xml:space="preserve">L1 Matrix (Cat 8)</t>
  </si>
  <si>
    <t xml:space="preserve">Session 3</t>
  </si>
  <si>
    <t xml:space="preserve">2.9</t>
  </si>
  <si>
    <t xml:space="preserve">Research L1 data: Lifestyle &amp; Work-Life Balance</t>
  </si>
  <si>
    <t xml:space="preserve">L1 Matrix (Cat 9)</t>
  </si>
  <si>
    <t xml:space="preserve">2.10</t>
  </si>
  <si>
    <t xml:space="preserve">Research L1 data: Job Market &amp; Demand</t>
  </si>
  <si>
    <t xml:space="preserve">L1 Matrix (Cat 10)</t>
  </si>
  <si>
    <t xml:space="preserve">2.11</t>
  </si>
  <si>
    <t xml:space="preserve">Research L1 data: AI Revolution Impact</t>
  </si>
  <si>
    <t xml:space="preserve">L1 Matrix (Cat 11)</t>
  </si>
  <si>
    <t xml:space="preserve">2.12</t>
  </si>
  <si>
    <t xml:space="preserve">Research L1 data: Professional Satisfaction</t>
  </si>
  <si>
    <t xml:space="preserve">L1 Matrix (Cat 12)</t>
  </si>
  <si>
    <t xml:space="preserve">2.13</t>
  </si>
  <si>
    <t xml:space="preserve">Research L1 data: Demographics &amp; Culture</t>
  </si>
  <si>
    <t xml:space="preserve">L1 Matrix (Cat 13)</t>
  </si>
  <si>
    <t xml:space="preserve">2.14</t>
  </si>
  <si>
    <t xml:space="preserve">Research L1 data: Risk Factors &amp; Downsides</t>
  </si>
  <si>
    <t xml:space="preserve">L1 Matrix (Cat 14)</t>
  </si>
  <si>
    <t xml:space="preserve">2.15</t>
  </si>
  <si>
    <t xml:space="preserve">Score &amp; rank professions (L1)</t>
  </si>
  <si>
    <t xml:space="preserve">L1 Scoring Results</t>
  </si>
  <si>
    <t xml:space="preserve">2.16</t>
  </si>
  <si>
    <t xml:space="preserve">Decision Gate 1: Narrow professions</t>
  </si>
  <si>
    <t xml:space="preserve">Shortlist</t>
  </si>
  <si>
    <t xml:space="preserve">Phase 3</t>
  </si>
  <si>
    <t xml:space="preserve">3.1</t>
  </si>
  <si>
    <t xml:space="preserve">Build specialty lists for surviving professions</t>
  </si>
  <si>
    <t xml:space="preserve">L2 Track List</t>
  </si>
  <si>
    <t xml:space="preserve">Session 4</t>
  </si>
  <si>
    <t xml:space="preserve">3.2</t>
  </si>
  <si>
    <t xml:space="preserve">Research L2 data for each specialty</t>
  </si>
  <si>
    <t xml:space="preserve">L2 Matrices</t>
  </si>
  <si>
    <t xml:space="preserve">Session 4-5</t>
  </si>
  <si>
    <t xml:space="preserve">3.3</t>
  </si>
  <si>
    <t xml:space="preserve">Score &amp; rank specialties within each profession</t>
  </si>
  <si>
    <t xml:space="preserve">L2 Scoring Results</t>
  </si>
  <si>
    <t xml:space="preserve">Session 5</t>
  </si>
  <si>
    <t xml:space="preserve">3.4</t>
  </si>
  <si>
    <t xml:space="preserve">Decision Gate 2: Top 3-5 tracks</t>
  </si>
  <si>
    <t xml:space="preserve">Phase 4</t>
  </si>
  <si>
    <t xml:space="preserve">4.1</t>
  </si>
  <si>
    <t xml:space="preserve">Cross-profession head-to-head comparison</t>
  </si>
  <si>
    <t xml:space="preserve">Finals Matrix</t>
  </si>
  <si>
    <t xml:space="preserve">Session 6</t>
  </si>
  <si>
    <t xml:space="preserve">4.2</t>
  </si>
  <si>
    <t xml:space="preserve">Total life financial modeling</t>
  </si>
  <si>
    <t xml:space="preserve">Career Life Models</t>
  </si>
  <si>
    <t xml:space="preserve">4.3</t>
  </si>
  <si>
    <t xml:space="preserve">Sensitivity analysis (AI, reimbursement, injury)</t>
  </si>
  <si>
    <t xml:space="preserve">Stress Test Results</t>
  </si>
  <si>
    <t xml:space="preserve">4.4</t>
  </si>
  <si>
    <t xml:space="preserve">Final recommendation &amp; decision framework</t>
  </si>
  <si>
    <t xml:space="preserve">Decision Summary</t>
  </si>
  <si>
    <t xml:space="preserve">Phase 5</t>
  </si>
  <si>
    <t xml:space="preserve">5.1</t>
  </si>
  <si>
    <t xml:space="preserve">Execution planning (prereqs, schools, timeline)</t>
  </si>
  <si>
    <t xml:space="preserve">Action Plan</t>
  </si>
  <si>
    <t xml:space="preserve">Session 7</t>
  </si>
  <si>
    <t xml:space="preserve">⬜ Not Started</t>
  </si>
  <si>
    <t xml:space="preserve">Framework Summary</t>
  </si>
  <si>
    <t xml:space="preserve">Total Professions (L1)</t>
  </si>
  <si>
    <t xml:space="preserve">Total Specialty Tracks (L2)</t>
  </si>
  <si>
    <t xml:space="preserve">Total Data Points</t>
  </si>
  <si>
    <t xml:space="preserve">L1 Data Points</t>
  </si>
  <si>
    <t xml:space="preserve">L2 Data Points</t>
  </si>
  <si>
    <t xml:space="preserve">BOTH (L1+L2) Data Points</t>
  </si>
  <si>
    <t xml:space="preserve">Decision-Driving Data Points</t>
  </si>
  <si>
    <t xml:space="preserve">Reference-Only Data Points</t>
  </si>
  <si>
    <t xml:space="preserve">Data Types Breakdown</t>
  </si>
  <si>
    <t xml:space="preserve">Categories</t>
  </si>
  <si>
    <t xml:space="preserve">Scenario Profiles</t>
  </si>
  <si>
    <t xml:space="preserve">L2 Research Status</t>
  </si>
  <si>
    <t xml:space="preserve">L2 Data Points Populated</t>
  </si>
  <si>
    <t xml:space="preserve">Specialty Tracks Researched</t>
  </si>
  <si>
    <t xml:space="preserve">Total L2 Data Cells Filled</t>
  </si>
  <si>
    <t xml:space="preserve">~1,554</t>
  </si>
  <si>
    <t xml:space="preserve">L2 Scoring Status</t>
  </si>
  <si>
    <t xml:space="preserve">Complete</t>
  </si>
  <si>
    <t xml:space="preserve">Tracks Scored at L2</t>
  </si>
  <si>
    <t xml:space="preserve">L2 Decision Data Points Scored</t>
  </si>
  <si>
    <t xml:space="preserve">Tracks Advancing to Phase 4</t>
  </si>
  <si>
    <t xml:space="preserve">5 + 1 wild card</t>
  </si>
  <si>
    <t xml:space="preserve">Decision Gate 2 Status</t>
  </si>
  <si>
    <t xml:space="preserve">Top Track (Default)</t>
  </si>
  <si>
    <t xml:space="preserve">Mohs Surgery (MD/DO) — 6.46</t>
  </si>
  <si>
    <t xml:space="preserve">Scenarios Analyzed</t>
  </si>
  <si>
    <t xml:space="preserve">Phase 4 Status</t>
  </si>
  <si>
    <t xml:space="preserve">Phase 4 Sheets Created</t>
  </si>
  <si>
    <t xml:space="preserve">Tracks in Finals</t>
  </si>
  <si>
    <t xml:space="preserve">Stress Test Scenarios</t>
  </si>
  <si>
    <t xml:space="preserve">Financial Model Years</t>
  </si>
  <si>
    <t xml:space="preserve">Age 18-65 (48 years)</t>
  </si>
  <si>
    <t xml:space="preserve">Final #1 Recommendation</t>
  </si>
  <si>
    <t xml:space="preserve">General Dermatology (MD/DO)</t>
  </si>
  <si>
    <t xml:space="preserve">L2 SPECIALTY MATRIX — MD/DO (29 Specialties)</t>
  </si>
  <si>
    <t xml:space="preserve">4. PGT</t>
  </si>
  <si>
    <t xml:space="preserve">7. Econ</t>
  </si>
  <si>
    <t xml:space="preserve">8. Daily</t>
  </si>
  <si>
    <t xml:space="preserve">9. Life</t>
  </si>
  <si>
    <t xml:space="preserve">10. Mkt</t>
  </si>
  <si>
    <t xml:space="preserve">11. AI</t>
  </si>
  <si>
    <t xml:space="preserve">12. Sat</t>
  </si>
  <si>
    <t xml:space="preserve">13. Demo</t>
  </si>
  <si>
    <t xml:space="preserve">14. Risk</t>
  </si>
  <si>
    <t xml:space="preserve">Residency Duration (yrs)</t>
  </si>
  <si>
    <t xml:space="preserve">Fellowship Options &amp; Duration</t>
  </si>
  <si>
    <t xml:space="preserve">Match Competitiveness (1-10)</t>
  </si>
  <si>
    <t xml:space="preserve">Starting Salary ($K)</t>
  </si>
  <si>
    <t xml:space="preserve">Mid-Career Salary ($K)</t>
  </si>
  <si>
    <t xml:space="preserve">Peak Earning Potential ($K)</t>
  </si>
  <si>
    <t xml:space="preserve">Comp Model</t>
  </si>
  <si>
    <t xml:space="preserve">Rev per Patient Visit</t>
  </si>
  <si>
    <t xml:space="preserve">Part-Time Flex (1-10)</t>
  </si>
  <si>
    <t xml:space="preserve">Typical Daily Workflow</t>
  </si>
  <si>
    <t xml:space="preserve">Patient Volume / Day</t>
  </si>
  <si>
    <t xml:space="preserve">Procedure Mix (1-10)</t>
  </si>
  <si>
    <t xml:space="preserve">Call Schedule (1-10)</t>
  </si>
  <si>
    <t xml:space="preserve">Admin Burden (1-10)</t>
  </si>
  <si>
    <t xml:space="preserve">Support Staff Model</t>
  </si>
  <si>
    <t xml:space="preserve">Avg Hours / Week</t>
  </si>
  <si>
    <t xml:space="preserve">Burnout Rate (%)</t>
  </si>
  <si>
    <t xml:space="preserve">Part-Time Feasibility (1-10)</t>
  </si>
  <si>
    <t xml:space="preserve">Vacation (wks/yr)</t>
  </si>
  <si>
    <t xml:space="preserve">Career Longevity (1-10)</t>
  </si>
  <si>
    <t xml:space="preserve">Malpractice Frequency (1-10)</t>
  </si>
  <si>
    <t xml:space="preserve">Malpractice Cost ($K/yr)</t>
  </si>
  <si>
    <t xml:space="preserve">Geographic Flex (1-10)</t>
  </si>
  <si>
    <t xml:space="preserve">Geographic Demand Notes</t>
  </si>
  <si>
    <t xml:space="preserve">Telehealth Potential (1-10)</t>
  </si>
  <si>
    <t xml:space="preserve">Automation Risk (1-10)</t>
  </si>
  <si>
    <t xml:space="preserve">Hands-On Insulation (1-10)</t>
  </si>
  <si>
    <t xml:space="preserve">Career Satisfaction (%)</t>
  </si>
  <si>
    <t xml:space="preserve">Choose Again (%)</t>
  </si>
  <si>
    <t xml:space="preserve">Intellectual Stimulation (1-10)</t>
  </si>
  <si>
    <t xml:space="preserve">Variety vs Repetition (1-10)</t>
  </si>
  <si>
    <t xml:space="preserve">Patient Impact (1-10)</t>
  </si>
  <si>
    <t xml:space="preserve">Gender Distribution Notes</t>
  </si>
  <si>
    <t xml:space="preserve">Physical Toll (1-10)</t>
  </si>
  <si>
    <t xml:space="preserve">Emotional Toll (1-10)</t>
  </si>
  <si>
    <t xml:space="preserve">Malpractice Liability (1-10)</t>
  </si>
  <si>
    <t xml:space="preserve">Injury Career Risk (1-10)</t>
  </si>
  <si>
    <t xml:space="preserve">Weight →</t>
  </si>
  <si>
    <t xml:space="preserve">Optional 1-2yr (trauma, MIS, surgical onc)</t>
  </si>
  <si>
    <t xml:space="preserve">Employed salary + RVU bonus; some private group</t>
  </si>
  <si>
    <t xml:space="preserve">High ($2K-10K/case)</t>
  </si>
  <si>
    <t xml:space="preserve">OR 2-4 cases/day, clinic 1-2 days/wk, rounds AM</t>
  </si>
  <si>
    <t xml:space="preserve">8-15</t>
  </si>
  <si>
    <t xml:space="preserve">OR team (scrub tech, circulator, anesthesia), 1-2 PAs/NPs</t>
  </si>
  <si>
    <t xml:space="preserve">Strong rural demand; urban competitive</t>
  </si>
  <si>
    <t xml:space="preserve">~22% women; increasing slowly</t>
  </si>
  <si>
    <t xml:space="preserve">Common 1yr (sports, spine, hand, trauma, joints)</t>
  </si>
  <si>
    <t xml:space="preserve">RVU-heavy; employed or private group</t>
  </si>
  <si>
    <t xml:space="preserve">Very high ($3K-20K/case)</t>
  </si>
  <si>
    <t xml:space="preserve">OR 3-5 cases/day, clinic 1-2 days/wk</t>
  </si>
  <si>
    <t xml:space="preserve">10-20</t>
  </si>
  <si>
    <t xml:space="preserve">OR team, PA/NP, cast techs, athletic trainers</t>
  </si>
  <si>
    <t xml:space="preserve">High demand everywhere; rural especially</t>
  </si>
  <si>
    <t xml:space="preserve">~7% women; slowest to diversify</t>
  </si>
  <si>
    <t xml:space="preserve">Common 1-2yr (spine, pediatric, vascular, skull base)</t>
  </si>
  <si>
    <t xml:space="preserve">High RVU; employed or academic</t>
  </si>
  <si>
    <t xml:space="preserve">Very high ($5K-50K/case)</t>
  </si>
  <si>
    <t xml:space="preserve">OR 1-3 complex cases/day, clinic, consults, ICU rounds</t>
  </si>
  <si>
    <t xml:space="preserve">5-12</t>
  </si>
  <si>
    <t xml:space="preserve">Large OR team, NPs, PAs, fellows, residents</t>
  </si>
  <si>
    <t xml:space="preserve">Urban/academic centers; some regional need</t>
  </si>
  <si>
    <t xml:space="preserve">~10% women; slowly increasing</t>
  </si>
  <si>
    <t xml:space="preserve">5+2 or 6 (I6)</t>
  </si>
  <si>
    <t xml:space="preserve">Integrated 6yr or traditional 5+2-3yr</t>
  </si>
  <si>
    <t xml:space="preserve">Employed salary; some hybrid RVU</t>
  </si>
  <si>
    <t xml:space="preserve">Very high ($5K-40K/case)</t>
  </si>
  <si>
    <t xml:space="preserve">OR 1-2 complex cases/day, ICU mgmt, clinic</t>
  </si>
  <si>
    <t xml:space="preserve">4-10</t>
  </si>
  <si>
    <t xml:space="preserve">Large cardiac OR team, perfusionists, ICU team</t>
  </si>
  <si>
    <t xml:space="preserve">Major medical centers; declining open-heart volume</t>
  </si>
  <si>
    <t xml:space="preserve">~5% women; one of lowest</t>
  </si>
  <si>
    <t xml:space="preserve">5+2 or 5 (integrated)</t>
  </si>
  <si>
    <t xml:space="preserve">Integrated 5yr or 5+2yr traditional</t>
  </si>
  <si>
    <t xml:space="preserve">Employed + RVU; growing endovascular</t>
  </si>
  <si>
    <t xml:space="preserve">High ($3K-25K/case)</t>
  </si>
  <si>
    <t xml:space="preserve">Mix of OR and endovascular suite, clinic, wound care</t>
  </si>
  <si>
    <t xml:space="preserve">OR/hybrid suite team, vascular lab techs</t>
  </si>
  <si>
    <t xml:space="preserve">Broad demand; aging population driving growth</t>
  </si>
  <si>
    <t xml:space="preserve">~15% women; growing</t>
  </si>
  <si>
    <t xml:space="preserve">6 (integrated) or 5+3</t>
  </si>
  <si>
    <t xml:space="preserve">Optional 1yr (hand, craniofacial, microsurgery, aesthetics)</t>
  </si>
  <si>
    <t xml:space="preserve">Private practice heavy; cash-pay aesthetics + insurance recon</t>
  </si>
  <si>
    <t xml:space="preserve">Variable ($500 Botox to $20K surgery)</t>
  </si>
  <si>
    <t xml:space="preserve">Mix of OR (recon+cosmetic), clinic consults, injectables</t>
  </si>
  <si>
    <t xml:space="preserve">OR team, aestheticians, clinic nurses, front office</t>
  </si>
  <si>
    <t xml:space="preserve">Urban/suburban; cosmetic demand in affluent areas</t>
  </si>
  <si>
    <t xml:space="preserve">~38% women; one of most diverse surgical fields</t>
  </si>
  <si>
    <t xml:space="preserve">1-2yr acute care/trauma fellowship</t>
  </si>
  <si>
    <t xml:space="preserve">Employed; often academic/hospital-based</t>
  </si>
  <si>
    <t xml:space="preserve">High per case but unpredictable volume</t>
  </si>
  <si>
    <t xml:space="preserve">Trauma bay, emergency OR, ICU management, scheduled cases</t>
  </si>
  <si>
    <t xml:space="preserve">8-20 (variable)</t>
  </si>
  <si>
    <t xml:space="preserve">Large trauma team, residents, ER staff</t>
  </si>
  <si>
    <t xml:space="preserve">Level I/II trauma centers; mostly urban</t>
  </si>
  <si>
    <t xml:space="preserve">~20% women</t>
  </si>
  <si>
    <t xml:space="preserve">2yr transplant fellowship</t>
  </si>
  <si>
    <t xml:space="preserve">Employed; academic/large hospital systems</t>
  </si>
  <si>
    <t xml:space="preserve">Very high per case ($30K-80K)</t>
  </si>
  <si>
    <t xml:space="preserve">Scheduled transplants, donor OR, clinic follow-up, on-call procurement</t>
  </si>
  <si>
    <t xml:space="preserve">3-8</t>
  </si>
  <si>
    <t xml:space="preserve">Transplant coordinators, OR team, immunology team</t>
  </si>
  <si>
    <t xml:space="preserve">Major transplant centers only; ~250 programs in US</t>
  </si>
  <si>
    <t xml:space="preserve">~18% women</t>
  </si>
  <si>
    <t xml:space="preserve">2yr pediatric surgery fellowship</t>
  </si>
  <si>
    <t xml:space="preserve">Employed; children's hospitals/academic</t>
  </si>
  <si>
    <t xml:space="preserve">Moderate-high; payer mix includes Medicaid</t>
  </si>
  <si>
    <t xml:space="preserve">OR 2-3 cases/day, NICU consults, clinic</t>
  </si>
  <si>
    <t xml:space="preserve">Pediatric OR/anesthesia team, child life specialists</t>
  </si>
  <si>
    <t xml:space="preserve">Children's hospitals; limited number of positions</t>
  </si>
  <si>
    <t xml:space="preserve">~35% women; one of more balanced surgical fields</t>
  </si>
  <si>
    <t xml:space="preserve">1yr colorectal fellowship</t>
  </si>
  <si>
    <t xml:space="preserve">Employed or group practice; RVU-based</t>
  </si>
  <si>
    <t xml:space="preserve">OR 2-4 cases/day, clinic, colonoscopies</t>
  </si>
  <si>
    <t xml:space="preserve">10-18</t>
  </si>
  <si>
    <t xml:space="preserve">Standard OR team, office nurses</t>
  </si>
  <si>
    <t xml:space="preserve">Broad demand; needed in most communities</t>
  </si>
  <si>
    <t xml:space="preserve">~25% women</t>
  </si>
  <si>
    <t xml:space="preserve">1yr hand fellowship (ortho or plastics pathway)</t>
  </si>
  <si>
    <t xml:space="preserve">Private group or employed; RVU</t>
  </si>
  <si>
    <t xml:space="preserve">High ($1K-15K/case)</t>
  </si>
  <si>
    <t xml:space="preserve">OR mix (micro to fractures), clinic heavy, splinting</t>
  </si>
  <si>
    <t xml:space="preserve">15-25</t>
  </si>
  <si>
    <t xml:space="preserve">OR team, hand therapists, splint techs</t>
  </si>
  <si>
    <t xml:space="preserve">Broad demand; every community needs hand coverage</t>
  </si>
  <si>
    <t xml:space="preserve">~15% women (ortho path); ~35% (plastics path)</t>
  </si>
  <si>
    <t xml:space="preserve">1yr spine fellowship (ortho or neuro pathway)</t>
  </si>
  <si>
    <t xml:space="preserve">RVU-heavy; private group or employed</t>
  </si>
  <si>
    <t xml:space="preserve">Very high ($10K-80K/case)</t>
  </si>
  <si>
    <t xml:space="preserve">OR 1-3 complex cases/day, clinic, imaging review</t>
  </si>
  <si>
    <t xml:space="preserve">Specialized OR team, neuromonitoring techs, PAs</t>
  </si>
  <si>
    <t xml:space="preserve">High demand; aging population; urban and suburban</t>
  </si>
  <si>
    <t xml:space="preserve">~8% women</t>
  </si>
  <si>
    <t xml:space="preserve">1yr sports medicine fellowship</t>
  </si>
  <si>
    <t xml:space="preserve">Private group heavy; team contracts; RVU</t>
  </si>
  <si>
    <t xml:space="preserve">High ($2K-15K/case)</t>
  </si>
  <si>
    <t xml:space="preserve">Arthroscopy OR, clinic, sideline coverage, injections</t>
  </si>
  <si>
    <t xml:space="preserve">OR team, athletic trainers, PAs</t>
  </si>
  <si>
    <t xml:space="preserve">Broad demand; sports-heavy markets premium</t>
  </si>
  <si>
    <t xml:space="preserve">~12% women</t>
  </si>
  <si>
    <t xml:space="preserve">1yr MIS/bariatric fellowship</t>
  </si>
  <si>
    <t xml:space="preserve">Employed or group; center-of-excellence model</t>
  </si>
  <si>
    <t xml:space="preserve">High ($8K-15K/case)</t>
  </si>
  <si>
    <t xml:space="preserve">OR 3-5 laparoscopic cases/day, clinic, support groups</t>
  </si>
  <si>
    <t xml:space="preserve">OR team, bariatric coordinators, dietitians</t>
  </si>
  <si>
    <t xml:space="preserve">Growing demand with obesity epidemic; expanding access</t>
  </si>
  <si>
    <t xml:space="preserve">~30% women</t>
  </si>
  <si>
    <t xml:space="preserve">3yr cardiology + 1yr interventional (7yr total PGT)</t>
  </si>
  <si>
    <t xml:space="preserve">Employed + RVU; high productivity bonuses</t>
  </si>
  <si>
    <t xml:space="preserve">Very high ($5K-30K/case)</t>
  </si>
  <si>
    <t xml:space="preserve">Cath lab procedures, acute STEMI call, clinic, reading</t>
  </si>
  <si>
    <t xml:space="preserve">Cath lab team, nurses, techs, NPs for clinic</t>
  </si>
  <si>
    <t xml:space="preserve">Strong demand; aging population; rural gaps</t>
  </si>
  <si>
    <t xml:space="preserve">~10% women in interventional</t>
  </si>
  <si>
    <t xml:space="preserve">5 (integrated) or 5+1-2</t>
  </si>
  <si>
    <t xml:space="preserve">Integrated IR residency or DR + IR fellowship</t>
  </si>
  <si>
    <t xml:space="preserve">Employed; RVU-based; private group in some markets</t>
  </si>
  <si>
    <t xml:space="preserve">High ($2K-15K/procedure)</t>
  </si>
  <si>
    <t xml:space="preserve">IR suite procedures all day, consults, some clinic</t>
  </si>
  <si>
    <t xml:space="preserve">IR techs, nurses, PAs</t>
  </si>
  <si>
    <t xml:space="preserve">Growing demand; medium-large hospitals</t>
  </si>
  <si>
    <t xml:space="preserve">~12% women; growing</t>
  </si>
  <si>
    <t xml:space="preserve">3yr GI fellowship (total 6yr PGT)</t>
  </si>
  <si>
    <t xml:space="preserve">Private group or employed; procedure volume driven</t>
  </si>
  <si>
    <t xml:space="preserve">High ($1K-5K/procedure)</t>
  </si>
  <si>
    <t xml:space="preserve">Endoscopy suite AM, clinic PM, hospital consults</t>
  </si>
  <si>
    <t xml:space="preserve">Endo suite nurses/techs, clinic MA, NP</t>
  </si>
  <si>
    <t xml:space="preserve">Very high demand everywhere; CRC screening driving volume</t>
  </si>
  <si>
    <t xml:space="preserve">~20% women; increasing</t>
  </si>
  <si>
    <t xml:space="preserve">5-6</t>
  </si>
  <si>
    <t xml:space="preserve">Optional 1yr (oncology, pediatric, female pelvic, endourology)</t>
  </si>
  <si>
    <t xml:space="preserve">Private group or employed; mix of procedures + clinic</t>
  </si>
  <si>
    <t xml:space="preserve">OR 2-3 cases, cystoscopies, clinic, robotic cases</t>
  </si>
  <si>
    <t xml:space="preserve">OR team, clinic nurses/MAs, robotic coordinator</t>
  </si>
  <si>
    <t xml:space="preserve">Strong demand; aging male population</t>
  </si>
  <si>
    <t xml:space="preserve">~12% women; increasing</t>
  </si>
  <si>
    <t xml:space="preserve">Optional 2-3yr (MFM, REI, gyn-onc, urogyn)</t>
  </si>
  <si>
    <t xml:space="preserve">Employed; some private; RVU + call pay</t>
  </si>
  <si>
    <t xml:space="preserve">Moderate ($500-8K depending on procedure)</t>
  </si>
  <si>
    <t xml:space="preserve">Clinic + L&amp;D + OR; unpredictable deliveries</t>
  </si>
  <si>
    <t xml:space="preserve">L&amp;D nurses, clinic MAs, OR team, midwives</t>
  </si>
  <si>
    <t xml:space="preserve">High demand everywhere; rural gaps critical</t>
  </si>
  <si>
    <t xml:space="preserve">~60% women; majority female field</t>
  </si>
  <si>
    <t xml:space="preserve">1+3 (intern + 3yr)</t>
  </si>
  <si>
    <t xml:space="preserve">Optional 1-2yr (retina, glaucoma, cornea, oculoplastics)</t>
  </si>
  <si>
    <t xml:space="preserve">Private practice dominant; procedure-driven revenue</t>
  </si>
  <si>
    <t xml:space="preserve">High ($500-5K/procedure)</t>
  </si>
  <si>
    <t xml:space="preserve">Clinic AM/PM, OR 1-2 days/wk (cataracts, retina, LASIK)</t>
  </si>
  <si>
    <t xml:space="preserve">25-40</t>
  </si>
  <si>
    <t xml:space="preserve">Ophthalmic techs, scribes, OR team, opticians</t>
  </si>
  <si>
    <t xml:space="preserve">Strong demand; aging population; cataract volume growing</t>
  </si>
  <si>
    <t xml:space="preserve">~25% women; increasing</t>
  </si>
  <si>
    <t xml:space="preserve">Optional 1-2yr (head &amp; neck onc, rhinology, laryngology, otology, peds)</t>
  </si>
  <si>
    <t xml:space="preserve">Moderate-high ($500-15K/case)</t>
  </si>
  <si>
    <t xml:space="preserve">OR 2-3 cases, clinic, in-office procedures, allergy testing</t>
  </si>
  <si>
    <t xml:space="preserve">OR team, audiologists, clinic nurses, speech therapy</t>
  </si>
  <si>
    <t xml:space="preserve">Good demand; broad geographic distribution</t>
  </si>
  <si>
    <t xml:space="preserve">~18% women; increasing</t>
  </si>
  <si>
    <t xml:space="preserve">1+3 (intern + 3yr derm)</t>
  </si>
  <si>
    <t xml:space="preserve">1-2yr Mohs/procedural derm fellowship</t>
  </si>
  <si>
    <t xml:space="preserve">Private practice dominant; high volume fee-for-service</t>
  </si>
  <si>
    <t xml:space="preserve">High ($1K-3K per Mohs case)</t>
  </si>
  <si>
    <t xml:space="preserve">Mohs cases all day (5-10 cases), read slides, reconstruct</t>
  </si>
  <si>
    <t xml:space="preserve">5-10 Mohs cases</t>
  </si>
  <si>
    <t xml:space="preserve">Mohs histotech, nurses, clinic MAs</t>
  </si>
  <si>
    <t xml:space="preserve">High demand; skin cancer rates increasing</t>
  </si>
  <si>
    <t xml:space="preserve">~40% women in dermatology</t>
  </si>
  <si>
    <t xml:space="preserve">3-4 (anesthesia or PM&amp;R)</t>
  </si>
  <si>
    <t xml:space="preserve">1yr pain fellowship</t>
  </si>
  <si>
    <t xml:space="preserve">Private practice or employed; procedure volume driven</t>
  </si>
  <si>
    <t xml:space="preserve">Moderate ($500-3K/procedure)</t>
  </si>
  <si>
    <t xml:space="preserve">Fluoroscopy-guided injections, nerve blocks, clinic evals</t>
  </si>
  <si>
    <t xml:space="preserve">Fluoro tech, nurses, clinic MAs, psychology team</t>
  </si>
  <si>
    <t xml:space="preserve">Very high demand; chronic pain epidemic</t>
  </si>
  <si>
    <t xml:space="preserve">3yr pulm/CC fellowship (6yr total PGT)</t>
  </si>
  <si>
    <t xml:space="preserve">Employed; academic or hospital-based; RVU + ICU stipend</t>
  </si>
  <si>
    <t xml:space="preserve">Moderate (ICU daily billing + bronchoscopies)</t>
  </si>
  <si>
    <t xml:space="preserve">ICU weeks on/off, clinic, bronchoscopy, PFT interpretation</t>
  </si>
  <si>
    <t xml:space="preserve">10-20 ICU; 15-20 clinic</t>
  </si>
  <si>
    <t xml:space="preserve">ICU nurses, RTs, NPs/PAs, fellows</t>
  </si>
  <si>
    <t xml:space="preserve">Very high demand; critical care shortage nationwide</t>
  </si>
  <si>
    <t xml:space="preserve">1+4 (intern + 4yr)</t>
  </si>
  <si>
    <t xml:space="preserve">Optional 1-2yr (neuro, MSK, body, breast, nuclear)</t>
  </si>
  <si>
    <t xml:space="preserve">Private group or employed; RVU reading volume</t>
  </si>
  <si>
    <t xml:space="preserve">Moderate per read ($50-500); high volume</t>
  </si>
  <si>
    <t xml:space="preserve">Read imaging studies (CT, MRI, XR, US) all day; minimal patient contact</t>
  </si>
  <si>
    <t xml:space="preserve">50-100+ reads/day</t>
  </si>
  <si>
    <t xml:space="preserve">Radiology techs, transcriptionists, PAs (for procedures)</t>
  </si>
  <si>
    <t xml:space="preserve">Strong demand; teleradiology allows remote work</t>
  </si>
  <si>
    <t xml:space="preserve">~27% women</t>
  </si>
  <si>
    <t xml:space="preserve">Optional (dermatopath, pediatric derm)</t>
  </si>
  <si>
    <t xml:space="preserve">Private practice dominant; cosmetics cash-pay supplement</t>
  </si>
  <si>
    <t xml:space="preserve">Moderate clinic ($150-500); cosmetics higher</t>
  </si>
  <si>
    <t xml:space="preserve">High-volume clinic: skin exams, biopsies, cosmetics, follow-ups</t>
  </si>
  <si>
    <t xml:space="preserve">30-50</t>
  </si>
  <si>
    <t xml:space="preserve">MAs, scribes, aestheticians, front desk</t>
  </si>
  <si>
    <t xml:space="preserve">Very high demand; huge backlog of referrals</t>
  </si>
  <si>
    <t xml:space="preserve">~50% women; most gender-balanced specialty</t>
  </si>
  <si>
    <t xml:space="preserve">1+3 (intern + 3yr CA)</t>
  </si>
  <si>
    <t xml:space="preserve">Optional 1yr (cardiac, peds, pain, regional, neuro, OB)</t>
  </si>
  <si>
    <t xml:space="preserve">Employed or group; stipend + call pay; some per-case</t>
  </si>
  <si>
    <t xml:space="preserve">Moderate per case ($500-2K); volume dependent</t>
  </si>
  <si>
    <t xml:space="preserve">OR all day: pre-op, induction, maintenance, extubation, PACU</t>
  </si>
  <si>
    <t xml:space="preserve">3-8 cases/day</t>
  </si>
  <si>
    <t xml:space="preserve">CRNAs, anesthesia techs, OR nurses</t>
  </si>
  <si>
    <t xml:space="preserve">High demand; CRNA competition in some markets</t>
  </si>
  <si>
    <t xml:space="preserve">~37% women</t>
  </si>
  <si>
    <t xml:space="preserve">3-4</t>
  </si>
  <si>
    <t xml:space="preserve">Optional 1-2yr (toxicology, ultrasound, sports, EMS, peds EM)</t>
  </si>
  <si>
    <t xml:space="preserve">Employed; hourly or shift-based; some RVU</t>
  </si>
  <si>
    <t xml:space="preserve">Moderate ($200-1K per encounter)</t>
  </si>
  <si>
    <t xml:space="preserve">Shift-based: 8-12hr blocks in ED; see all comers</t>
  </si>
  <si>
    <t xml:space="preserve">18-30 per shift</t>
  </si>
  <si>
    <t xml:space="preserve">ED nurses, techs, scribes, APPs</t>
  </si>
  <si>
    <t xml:space="preserve">Mixed; oversupply concerns in some markets, rural shortages</t>
  </si>
  <si>
    <t xml:space="preserve">~38% women</t>
  </si>
  <si>
    <t xml:space="preserve">Optional 1-2yr (child, forensic, addiction, consult-liaison, geriatric)</t>
  </si>
  <si>
    <t xml:space="preserve">Employed or private practice; hourly consult or salary</t>
  </si>
  <si>
    <t xml:space="preserve">Low ($100-300 per visit); cash-pay supplement</t>
  </si>
  <si>
    <t xml:space="preserve">Clinic: med management visits, therapy, consults; some inpatient</t>
  </si>
  <si>
    <t xml:space="preserve">12-20 outpatient; 8-15 inpatient</t>
  </si>
  <si>
    <t xml:space="preserve">Clinic MAs, social workers, psychologists, therapists</t>
  </si>
  <si>
    <t xml:space="preserve">Massive demand everywhere; worst shortage of any specialty</t>
  </si>
  <si>
    <t xml:space="preserve">~55% women; majority female</t>
  </si>
  <si>
    <t xml:space="preserve">L2 SPECIALTY MATRIX — DDS/DMD (7 Tracks)</t>
  </si>
  <si>
    <t xml:space="preserve">4-6 (some include MD)</t>
  </si>
  <si>
    <t xml:space="preserve">Optional 1yr (head &amp; neck onc, cosmetic)</t>
  </si>
  <si>
    <t xml:space="preserve">Private practice dominant; fee-for-service</t>
  </si>
  <si>
    <t xml:space="preserve">High ($1K-20K/case)</t>
  </si>
  <si>
    <t xml:space="preserve">OR (wisdom teeth to jaw reconstruction), clinic, hospital consults, trauma call</t>
  </si>
  <si>
    <t xml:space="preserve">OR team, surgical assistants, clinic nurses</t>
  </si>
  <si>
    <t xml:space="preserve">Strong demand; most communities need OMS coverage</t>
  </si>
  <si>
    <t xml:space="preserve">~10% women</t>
  </si>
  <si>
    <t xml:space="preserve">2-3yr endo residency (post-DDS, not a match)</t>
  </si>
  <si>
    <t xml:space="preserve">Private practice dominant; fee-for-service; referral-based</t>
  </si>
  <si>
    <t xml:space="preserve">High per case ($800-2K per root canal)</t>
  </si>
  <si>
    <t xml:space="preserve">Root canals and retreatments all day; microscope-based</t>
  </si>
  <si>
    <t xml:space="preserve">6-10 cases/day</t>
  </si>
  <si>
    <t xml:space="preserve">Dental assistant, front desk, hygienist (minimal)</t>
  </si>
  <si>
    <t xml:space="preserve">Steady demand; most communities need endodontist</t>
  </si>
  <si>
    <t xml:space="preserve">3yr perio residency</t>
  </si>
  <si>
    <t xml:space="preserve">Private practice; fee-for-service; implant revenue growing</t>
  </si>
  <si>
    <t xml:space="preserve">Moderate-high ($300-5K; implants top end)</t>
  </si>
  <si>
    <t xml:space="preserve">Surgical perio, implant placement/restoration, grafting, clinic</t>
  </si>
  <si>
    <t xml:space="preserve">Dental assistant, hygienist, front desk</t>
  </si>
  <si>
    <t xml:space="preserve">Good demand; implant market growing</t>
  </si>
  <si>
    <t xml:space="preserve">3yr prostho residency</t>
  </si>
  <si>
    <t xml:space="preserve">Private practice; implant-supported prosthetics growing</t>
  </si>
  <si>
    <t xml:space="preserve">High per case ($2K-10K for full mouth rehab)</t>
  </si>
  <si>
    <t xml:space="preserve">Complex restorative cases, implant prosthetics, full mouth rehab, lab work</t>
  </si>
  <si>
    <t xml:space="preserve">6-10</t>
  </si>
  <si>
    <t xml:space="preserve">Dental assistant, lab tech, front desk</t>
  </si>
  <si>
    <t xml:space="preserve">Moderate demand; niche market; aging population helps</t>
  </si>
  <si>
    <t xml:space="preserve">2-3yr ortho residency (very competitive dental specialty)</t>
  </si>
  <si>
    <t xml:space="preserve">Private practice dominant; fee-for-service; DTC competition</t>
  </si>
  <si>
    <t xml:space="preserve">Moderate per visit but high per case ($3K-8K total)</t>
  </si>
  <si>
    <t xml:space="preserve">Adjustments, consults, Invisalign checks, records, treatment planning</t>
  </si>
  <si>
    <t xml:space="preserve">Orthodontic assistants, treatment coordinator, front desk</t>
  </si>
  <si>
    <t xml:space="preserve">Good but facing DTC aligner competition; cosmetic demand stable</t>
  </si>
  <si>
    <t xml:space="preserve">2yr pedo residency</t>
  </si>
  <si>
    <t xml:space="preserve">Private practice or group; Medicaid-heavy in some markets</t>
  </si>
  <si>
    <t xml:space="preserve">Lower per visit ($100-500); volume-dependent</t>
  </si>
  <si>
    <t xml:space="preserve">Restorations, crowns, extractions, sedation cases, behavior mgmt</t>
  </si>
  <si>
    <t xml:space="preserve">20-35</t>
  </si>
  <si>
    <t xml:space="preserve">Dental assistants, sedation team, front desk</t>
  </si>
  <si>
    <t xml:space="preserve">High demand; Medicaid expansion helping; underserved areas critical</t>
  </si>
  <si>
    <t xml:space="preserve">~50% women; very balanced</t>
  </si>
  <si>
    <t xml:space="preserve">Optional 1yr GPR/AEGD (not required)</t>
  </si>
  <si>
    <t xml:space="preserve">Private practice ownership; corporate employed; associate</t>
  </si>
  <si>
    <t xml:space="preserve">Moderate ($150-2K depending on procedure)</t>
  </si>
  <si>
    <t xml:space="preserve">Fillings, crowns, cleanings, extractions, exams, cosmetic, implants</t>
  </si>
  <si>
    <t xml:space="preserve">Hygienist(s), dental assistant(s), front desk/office mgr</t>
  </si>
  <si>
    <t xml:space="preserve">Very high demand everywhere; strong rural need</t>
  </si>
  <si>
    <t xml:space="preserve">~35% women overall; ~50% of new grads</t>
  </si>
  <si>
    <t xml:space="preserve">L2 SPECIALTY MATRIX — DPM (3 Tracks)</t>
  </si>
  <si>
    <t xml:space="preserve">Optional 1yr (reconstructive, trauma)</t>
  </si>
  <si>
    <t xml:space="preserve">Private practice or employed; some hospital-based</t>
  </si>
  <si>
    <t xml:space="preserve">Moderate-high ($500-10K/case)</t>
  </si>
  <si>
    <t xml:space="preserve">OR 2-4 cases/day (bunions, hammertoes, fractures, reconstruction), clinic</t>
  </si>
  <si>
    <t xml:space="preserve">12-20</t>
  </si>
  <si>
    <t xml:space="preserve">Surgical tech, assistant, clinic MAs</t>
  </si>
  <si>
    <t xml:space="preserve">Good demand; especially with diabetes prevalence</t>
  </si>
  <si>
    <t xml:space="preserve">Optional 1yr sports/biomechanics</t>
  </si>
  <si>
    <t xml:space="preserve">Private practice; some team contracts; orthotics revenue</t>
  </si>
  <si>
    <t xml:space="preserve">Lower ($100-400 per visit); orthotic sales supplement</t>
  </si>
  <si>
    <t xml:space="preserve">Clinic: biomechanical evals, orthotics fitting, gait analysis, minor procedures</t>
  </si>
  <si>
    <t xml:space="preserve">MA, orthotics tech, front desk</t>
  </si>
  <si>
    <t xml:space="preserve">Moderate; sports markets better; competition with PT/ortho</t>
  </si>
  <si>
    <t xml:space="preserve">Optional wound care certification</t>
  </si>
  <si>
    <t xml:space="preserve">Employed (hospital/health system) or private; some wound care centers</t>
  </si>
  <si>
    <t xml:space="preserve">Moderate ($150-2K; surgical debridements higher)</t>
  </si>
  <si>
    <t xml:space="preserve">Wound debridements, offloading, vascular assessments, clinic, OR for salvage</t>
  </si>
  <si>
    <t xml:space="preserve">Wound care nurses, MAs, hyperbaric techs</t>
  </si>
  <si>
    <t xml:space="preserve">High demand; diabetes epidemic driving need; underserved areas</t>
  </si>
  <si>
    <t xml:space="preserve">L2 SPECIALTY MATRIX — OD (3 Tracks)</t>
  </si>
  <si>
    <t xml:space="preserve">Optional 1yr residency (ocular disease)</t>
  </si>
  <si>
    <t xml:space="preserve">Employed (ophthalmology group, VA, hospital) or private</t>
  </si>
  <si>
    <t xml:space="preserve">Low-moderate ($100-300 per visit)</t>
  </si>
  <si>
    <t xml:space="preserve">Medical eye exams, disease management (glaucoma, diabetes), co-manage surgical patients</t>
  </si>
  <si>
    <t xml:space="preserve">20-30</t>
  </si>
  <si>
    <t xml:space="preserve">Ophthalmic tech, front desk, sometimes shared with MDs</t>
  </si>
  <si>
    <t xml:space="preserve">Growing demand as scope expands; rural need high</t>
  </si>
  <si>
    <t xml:space="preserve">~65% women in optometry overall</t>
  </si>
  <si>
    <t xml:space="preserve">Optional 1yr residency (contact lens, low vision, pediatric)</t>
  </si>
  <si>
    <t xml:space="preserve">Employed in ophthalmology/refractive surgery practice</t>
  </si>
  <si>
    <t xml:space="preserve">Low ($80-200 per visit); volume-based</t>
  </si>
  <si>
    <t xml:space="preserve">Pre/post-op exams for cataract/LASIK, specialty fitting (sclerals, ortho-K)</t>
  </si>
  <si>
    <t xml:space="preserve">25-35</t>
  </si>
  <si>
    <t xml:space="preserve">Ophthalmic tech, shared practice staff</t>
  </si>
  <si>
    <t xml:space="preserve">Tied to ophthalmology practice growth</t>
  </si>
  <si>
    <t xml:space="preserve">~65% women</t>
  </si>
  <si>
    <t xml:space="preserve">Optional 1yr residency (broadly recommended but not required)</t>
  </si>
  <si>
    <t xml:space="preserve">Private practice, corporate (Luxottica/VSP), employed</t>
  </si>
  <si>
    <t xml:space="preserve">Low ($100-250 per exam); optical sales supplement</t>
  </si>
  <si>
    <t xml:space="preserve">Comprehensive eye exams, refraction, contact lens fits, optical dispensing, minor disease mgmt</t>
  </si>
  <si>
    <t xml:space="preserve">Optometric tech, optician, front desk</t>
  </si>
  <si>
    <t xml:space="preserve">Saturated in metro; good rural demand; corporate expanding</t>
  </si>
  <si>
    <t xml:space="preserve">~65% women; majority female profession</t>
  </si>
  <si>
    <t xml:space="preserve">PHASE 4 — FINALS MATRIX: HEAD-TO-HEAD COMPARISON</t>
  </si>
  <si>
    <t xml:space="preserve">6 advancing tracks compared across all 14 categories. Scores are 1-10 (higher = better). Green = category best, Red = category worst.</t>
  </si>
  <si>
    <t xml:space="preserve">Weight (%)</t>
  </si>
  <si>
    <t xml:space="preserve">Mohs</t>
  </si>
  <si>
    <t xml:space="preserve">Gen Derm</t>
  </si>
  <si>
    <t xml:space="preserve">Ophtho</t>
  </si>
  <si>
    <t xml:space="preserve">Pod Surg</t>
  </si>
  <si>
    <t xml:space="preserve">Sports Med</t>
  </si>
  <si>
    <t xml:space="preserve">Wound Care</t>
  </si>
  <si>
    <t xml:space="preserve">Narrative Comparison</t>
  </si>
  <si>
    <t xml:space="preserve">MD/DO tracks penalized: heavy prereqs, long path. DPM far easier entry with 3-yr option &amp; lighter prereqs.</t>
  </si>
  <si>
    <t xml:space="preserve">Massive DPM advantage (9.0 vs 4.0). MD/DO med school acceptance ~40% with top stats; DPM ~85%+ acceptance.</t>
  </si>
  <si>
    <t xml:space="preserve">DPM school cheaper ($200K vs $240K MD), less rigorous. MD/DO more prestigious but harder experience.</t>
  </si>
  <si>
    <t xml:space="preserve">DPM residency only 3yrs, easy match. MD derm/ophtho require 4yr residency + brutal match (~1-2% derm acceptance). Huge differentiator.</t>
  </si>
  <si>
    <t xml:space="preserve">Surprisingly close — MD debt (~$205K) offset by higher eventual earnings. DPM debt similar (~$200K) but lower income ahead.</t>
  </si>
  <si>
    <t xml:space="preserve">6. Scope &amp; Autonomy</t>
  </si>
  <si>
    <t xml:space="preserve">MD/DO dominates — full prescribing, all surgeries, hospital privileges. DPM limited to foot/ankle with active turf wars.</t>
  </si>
  <si>
    <t xml:space="preserve">Mohs is the outlier: $450K start → $900K peak. Ophtho: $350-800K. All DPM tracks cluster at $160-500K — roughly half of MD peaks.</t>
  </si>
  <si>
    <t xml:space="preserve">8. Daily Life &amp; Practice</t>
  </si>
  <si>
    <t xml:space="preserve">Mohs exceptional (no call, 5-10 cases/day, highly procedural). DPM tracks are solid clinic-based practices but less unique.</t>
  </si>
  <si>
    <t xml:space="preserve">9. Lifestyle &amp; Work-Life</t>
  </si>
  <si>
    <t xml:space="preserve">Mohs/Gen Derm lead with ~43-45 hr/wk, low burnout. Sports Med DPM similar hours. Pod Surg has more call; Wound Care moderate.</t>
  </si>
  <si>
    <t xml:space="preserve">MD tracks benefit from massive projected physician shortage. DPM demand growing (diabetes) but smaller, more niche market.</t>
  </si>
  <si>
    <t xml:space="preserve">DPM surgery highly insulated (hands-on). Gen Derm has some AI risk (teledermatology). Ophtho mixed: AI retinal screening exists but surgery safe.</t>
  </si>
  <si>
    <t xml:space="preserve">Ophthalmology leads (85% satisfaction, 83% would choose again). Mohs/Derm close behind. DPM satisfaction notably lower (~50-55%).</t>
  </si>
  <si>
    <t xml:space="preserve">DPM more welcoming to non-traditional students. MD/DO culture more hierarchical but more diverse applicant pool.</t>
  </si>
  <si>
    <t xml:space="preserve">Gen Derm safest (low physical toll, low malpractice, low injury risk). Pod Surgery &amp; Wound Care riskier (surgical complications, malpractice).</t>
  </si>
  <si>
    <t xml:space="preserve">🏆 Mohs</t>
  </si>
  <si>
    <t xml:space="preserve">🏆 Sports Med</t>
  </si>
  <si>
    <t xml:space="preserve">🏆 Wound Care</t>
  </si>
  <si>
    <t xml:space="preserve">KEY TRADE-OFFS — THE REAL DECISION</t>
  </si>
  <si>
    <t xml:space="preserve">🔴 The Match Bottleneck</t>
  </si>
  <si>
    <t xml:space="preserve">Mohs, Gen Derm, and Ophthalmology all require matching into the most competitive residencies in medicine. Derm match rate is ~1-2% of all applicants (only ~700 spots/yr nationally). Ophthalmology is ~4% acceptance. If you don't match, you're rerouted to a less desirable specialty — there is no guaranteed path to these tracks. This is the single biggest risk factor in the entire framework.</t>
  </si>
  <si>
    <t xml:space="preserve">🟢 The DPM Shortcut</t>
  </si>
  <si>
    <t xml:space="preserve">All 3 DPM tracks offer guaranteed entry: ~85% acceptance to DPM school, easy residency match, practicing by age 29. The trade-off is clear — you cap your earnings at roughly half of what the MD tracks offer ($350-500K peak vs $700K-1M) and accept a narrower scope, lower prestige, and ongoing turf battles with orthopedics.</t>
  </si>
  <si>
    <t xml:space="preserve">🟡 The Ceiling vs. Floor Dilemma</t>
  </si>
  <si>
    <t xml:space="preserve">MD/DO tracks have the highest ceiling but the lowest floor (fail to match → years lost). DPM tracks have the highest floor (guaranteed path) but the lowest ceiling. The question is: are you optimizing for expected value (probability × payoff) or maximum upside?</t>
  </si>
  <si>
    <t xml:space="preserve">🔵 Lifestyle Convergence</t>
  </si>
  <si>
    <t xml:space="preserve">Surprisingly, the top performers in lifestyle are split: Mohs (MD) and Sports Med (DPM) both offer excellent work-life balance with ~43-45 hr/wk. The difference is Mohs pairs that lifestyle with $900K peak earnings while Sports Med pairs it with $350K. You're essentially paying ~$500K/yr for the privilege of an easier entry path.</t>
  </si>
  <si>
    <t xml:space="preserve">⚫ The Time Value of Money</t>
  </si>
  <si>
    <t xml:space="preserve">DPM graduates start earning at age 29. MD Mohs surgeons don't reach full earning power until age 33-34. That's 4-5 extra years of compound growth for DPM — but starting from a much lower base. The financial modeling in the next sheet will show exactly when and whether the MD tracks overtake DPM.</t>
  </si>
  <si>
    <t xml:space="preserve">CAREER LIFETIME FINANCIAL MODELS — AGE 18 TO 65</t>
  </si>
  <si>
    <t xml:space="preserve">Projections use realistic assumptions from L1/L2 research data. All figures in $K (thousands). Blue = hardcoded input assumptions.</t>
  </si>
  <si>
    <t xml:space="preserve">KEY ASSUMPTIONS</t>
  </si>
  <si>
    <t xml:space="preserve">Assumption</t>
  </si>
  <si>
    <t xml:space="preserve">Undergrad Cost ($K/yr)</t>
  </si>
  <si>
    <t xml:space="preserve">Undergrad Years</t>
  </si>
  <si>
    <t xml:space="preserve">Prof School Cost ($K/yr)</t>
  </si>
  <si>
    <t xml:space="preserve">Prof School Years</t>
  </si>
  <si>
    <t xml:space="preserve">Residency Years</t>
  </si>
  <si>
    <t xml:space="preserve">Fellowship Years</t>
  </si>
  <si>
    <t xml:space="preserve">Trainee Salary ($K/yr)</t>
  </si>
  <si>
    <t xml:space="preserve">Age at Independent Practice</t>
  </si>
  <si>
    <t xml:space="preserve">Mid-Career Salary ($K, age 40)</t>
  </si>
  <si>
    <t xml:space="preserve">Peak Salary ($K, age 48+)</t>
  </si>
  <si>
    <t xml:space="preserve">Malpractice ($K/yr)</t>
  </si>
  <si>
    <t xml:space="preserve">Annual Overhead/CE ($K/yr)</t>
  </si>
  <si>
    <t xml:space="preserve">Total Education Debt ($K)</t>
  </si>
  <si>
    <t xml:space="preserve">Student Loan Rate (%)</t>
  </si>
  <si>
    <t xml:space="preserve">Living Expenses ($K/yr)</t>
  </si>
  <si>
    <t xml:space="preserve">Living Exp Growth (%/yr)</t>
  </si>
  <si>
    <t xml:space="preserve">Salary Growth to Mid (%/yr)</t>
  </si>
  <si>
    <t xml:space="preserve">Salary Growth to Peak (%/yr)</t>
  </si>
  <si>
    <t xml:space="preserve">Post-Peak Maintenance (%/yr)</t>
  </si>
  <si>
    <t xml:space="preserve">NPV Discount Rate (%)</t>
  </si>
  <si>
    <t xml:space="preserve">LIFETIME FINANCIAL SUMMARY (Age 18-65)</t>
  </si>
  <si>
    <t xml:space="preserve">Metric</t>
  </si>
  <si>
    <t xml:space="preserve">Age at First Full Salary</t>
  </si>
  <si>
    <t xml:space="preserve">Education Debt at Practice Start ($K)</t>
  </si>
  <si>
    <t xml:space="preserve">Annual Debt Payment ($K, 10yr)</t>
  </si>
  <si>
    <t xml:space="preserve">Breakeven Age (Cum. Net &gt; $0)</t>
  </si>
  <si>
    <t xml:space="preserve">Years to Breakeven (from age 18)</t>
  </si>
  <si>
    <t xml:space="preserve">Lifetime Gross Earnings ($K, to 65)</t>
  </si>
  <si>
    <t xml:space="preserve">Cumulative Net Worth at 65 ($K)</t>
  </si>
  <si>
    <t xml:space="preserve">NPV at 5% ($K)</t>
  </si>
  <si>
    <t xml:space="preserve">Peak Annual Income ($K)</t>
  </si>
  <si>
    <t xml:space="preserve">CUMULATIVE NET WORTH TRAJECTORY ($K) — EVERY 5 YEARS</t>
  </si>
  <si>
    <t xml:space="preserve">Age</t>
  </si>
  <si>
    <t xml:space="preserve">KEY FINANCIAL INSIGHT</t>
  </si>
  <si>
    <t xml:space="preserve">Mohs Surgery overtakes Podiatric Surgery in cumulative net worth at approximately age 32. Despite DPM's 11-year head start in earning, Mohs's dramatically higher salary ($900K peak vs $500K) closes the gap within 1 years of practice. By age 65, the Mohs surgeon accumulates $22.4M vs the podiatric surgeon's $10.4M — a $12.0M lifetime gap. However, the NPV gap is narrower ($4.5M vs $1.8M) because DPM's earlier cash flows carry more present value. Sports Medicine DPM has the weakest financial profile at $6.0M lifetime — roughly 3.8x less than Mohs.</t>
  </si>
  <si>
    <t xml:space="preserve">PHASE 4 — SENSITIVITY &amp; STRESS TEST ANALYSIS</t>
  </si>
  <si>
    <t xml:space="preserve">Each track stress-tested against 4 risk scenarios. Resilience scored 1-10 (10 = most resilient). Includes fallback analysis.</t>
  </si>
  <si>
    <t xml:space="preserve">Scenario A: AI Disruption Accelerates</t>
  </si>
  <si>
    <t xml:space="preserve">AI diagnostic tools become standard in 5-10 years. Automated screening, telehealth AI, and robotic-assisted surgery reduce demand for human clinicians in diagnostic roles.</t>
  </si>
  <si>
    <t xml:space="preserve">Track</t>
  </si>
  <si>
    <t xml:space="preserve">Score (1-10)</t>
  </si>
  <si>
    <t xml:space="preserve">Rationale</t>
  </si>
  <si>
    <t xml:space="preserve">Mohs is hands-on surgery + live histopathology — AI can't replicate the integrated cut-read-reconstruct workflow. Some diagnostic derm triage may shift to AI.</t>
  </si>
  <si>
    <t xml:space="preserve">Most vulnerable of the 6 — teledermatology AI and image classification could reduce routine visits by 20-30%. Cosmetics revenue immune.</t>
  </si>
  <si>
    <t xml:space="preserve">Mixed — AI retinal screening (already FDA-approved) reduces some diagnostic work, but cataract/glaucoma surgery is fully protected. Net moderate risk.</t>
  </si>
  <si>
    <t xml:space="preserve">Very safe — foot/ankle surgery is entirely hands-on. No AI pathway to replicate bunionectomies or fracture fixation. Strong insulation.</t>
  </si>
  <si>
    <t xml:space="preserve">Moderate risk — biomechanical assessments and gait analysis could be partially automated. Orthotics fitting may shift to AI/3D printing.</t>
  </si>
  <si>
    <t xml:space="preserve">Mostly safe — wound debridement is hands-on. AI may aid wound monitoring (photography analysis) but enhances rather than replaces.</t>
  </si>
  <si>
    <t xml:space="preserve">Scenario B: Reimbursement Cuts 20%</t>
  </si>
  <si>
    <t xml:space="preserve">Medicare/Medicaid and private insurers cut reimbursement rates 20% across the board due to cost containment pressure.</t>
  </si>
  <si>
    <t xml:space="preserve">Mohs is partially insulated — high volume practice can absorb cuts, and skin cancer demand is non-discretionary. But fee-for-service model is exposed.</t>
  </si>
  <si>
    <t xml:space="preserve">Best positioned — significant cosmetics/cash-pay revenue stream is insurance-independent. Can shift practice mix toward aesthetics.</t>
  </si>
  <si>
    <t xml:space="preserve">Moderate hit — LASIK/premium IOLs are cash-pay, but cataract surgery reimbursement (bulk of income) would drop significantly.</t>
  </si>
  <si>
    <t xml:space="preserve">Painful — podiatric surgery is heavily insurance-dependent with already-low reimbursement. 20% cut could threaten practice viability.</t>
  </si>
  <si>
    <t xml:space="preserve">Moderate — orthotics have some cash-pay component, but core clinical revenue is insurance-based.</t>
  </si>
  <si>
    <t xml:space="preserve">Severe — wound care is almost entirely Medicare/Medicaid dependent (diabetic population). A 20% cut devastates this track.</t>
  </si>
  <si>
    <t xml:space="preserve">Scenario C: Career-Ending Hand/Back Injury at Age 40</t>
  </si>
  <si>
    <t xml:space="preserve">A musculoskeletal injury at age 40 prevents surgical/procedural work. Evaluates career pivotability and non-procedural options.</t>
  </si>
  <si>
    <t xml:space="preserve">Problematic — Mohs is entirely procedural. Could pivot to dermatopathology (reading slides) or general derm clinics, but major income drop.</t>
  </si>
  <si>
    <t xml:space="preserve">Strong fallback — medical dermatology, teledermatology, cosmetic consultations, and teaching are all non-surgical. Income maintained at $350-500K.</t>
  </si>
  <si>
    <t xml:space="preserve">Moderate — could shift to medical ophthalmology (glaucoma management, diabetic eye screening) but loses surgical premium. ~40% income cut.</t>
  </si>
  <si>
    <t xml:space="preserve">Very difficult — podiatric surgery is the primary revenue driver. Non-surgical podiatric medicine exists but pays $150-200K, a massive cut.</t>
  </si>
  <si>
    <t xml:space="preserve">Relatively protected — biomechanical evaluations, orthotics prescriptions, and consultations are non-surgical. Already low-procedure practice.</t>
  </si>
  <si>
    <t xml:space="preserve">Moderate — some wound assessment is non-procedural, but debridement/surgery is core. Could shift to wound care management/consulting.</t>
  </si>
  <si>
    <t xml:space="preserve">Scenario D: Failure to Match (Derm/Ophtho)</t>
  </si>
  <si>
    <t xml:space="preserve">Candidate applies to dermatology or ophthalmology residency and fails to match. What's the fallback?</t>
  </si>
  <si>
    <t xml:space="preserve">Catastrophic — requires matching derm first (1-2% acceptance). Fallback: SOAP into FM/IM/prelim year, reapply (low odds), or pivot to completely different specialty. 2-4 years potentially wasted.</t>
  </si>
  <si>
    <t xml:space="preserve">Same catastrophic risk as Mohs — derm match is the bottleneck. Many unmatched derm applicants end up in internal medicine or family medicine at $250-300K, a massive lifestyle and earnings downgrade.</t>
  </si>
  <si>
    <t xml:space="preserve">Slightly better — ophtho match is competitive (~55% match rate for US MDs) but not as brutal as derm. Fallback could be IM → medical retina or neurology → neuro-ophthalmology. Still painful.</t>
  </si>
  <si>
    <t xml:space="preserve">N/A — DPM match is essentially guaranteed. There is no meaningful match risk. This is the track's biggest structural advantage.</t>
  </si>
  <si>
    <t xml:space="preserve">N/A — same as Pod Surg. No match risk whatsoever.</t>
  </si>
  <si>
    <t xml:space="preserve">N/A — same as Pod Surg. Guaranteed path from DPM school to wound care practice.</t>
  </si>
  <si>
    <t xml:space="preserve">COMPOSITE STRESS TEST RESILIENCE</t>
  </si>
  <si>
    <t xml:space="preserve">AI Disruption</t>
  </si>
  <si>
    <t xml:space="preserve">Reimburse Cut</t>
  </si>
  <si>
    <t xml:space="preserve">Injury</t>
  </si>
  <si>
    <t xml:space="preserve">Match Fail</t>
  </si>
  <si>
    <t xml:space="preserve">AVERAGE</t>
  </si>
  <si>
    <t xml:space="preserve">STRESS TEST INSIGHT</t>
  </si>
  <si>
    <t xml:space="preserve">General Dermatology emerges as the most resilient track across all stress tests (strong cash-pay fallback, non-surgical pivot options, only the match risk holds it back). Podiatric Surgery is the most fragile — low reimbursement tolerance, poor pivotability, and no cash-pay buffer. The DPM tracks' greatest strength (guaranteed entry) is also their greatest vulnerability: they score 10/10 on match risk but are the weakest when the actual practice environment deteriorates. The critical question becomes: which risk scares you more — the risk of NOT getting in (match failure) or the risk of getting in and facing a tough practice environment (reimbursement cuts, injury)?</t>
  </si>
  <si>
    <t xml:space="preserve">PHASE 4 — FINAL DECISION SUMMARY &amp; RECOMMENDATION</t>
  </si>
  <si>
    <t xml:space="preserve">Synthesizes all Phase 1-4 analysis into a final ranked recommendation with a personalized decision tree.</t>
  </si>
  <si>
    <t xml:space="preserve">FINAL RANKING</t>
  </si>
  <si>
    <t xml:space="preserve">Default Score</t>
  </si>
  <si>
    <t xml:space="preserve">Stress Resilience</t>
  </si>
  <si>
    <t xml:space="preserve">NPV ($K)</t>
  </si>
  <si>
    <t xml:space="preserve">Lifetime Net ($K)</t>
  </si>
  <si>
    <t xml:space="preserve">Verdict</t>
  </si>
  <si>
    <t xml:space="preserve">General Dermatology
(MD/DO)</t>
  </si>
  <si>
    <t xml:space="preserve">🏆 #1 PICK — Best risk-adjusted choice. Top lifestyle, strong earnings ($700K peak), most resilient to disruption, and cosmetics provides insurance-independent revenue. The match risk is real but the upside/downside ratio is the best of all 6 tracks.</t>
  </si>
  <si>
    <t xml:space="preserve">Mohs Surgery
(MD/DO)</t>
  </si>
  <si>
    <t xml:space="preserve">🥈 #2 — Highest raw composite score and best economics ($900K peak). Same match bottleneck as Gen Derm but narrower practice (repetitive Mohs cases). If you can tolerate slight repetition for maximum income, this edges out Gen Derm financially.</t>
  </si>
  <si>
    <t xml:space="preserve">Ophthalmology
(MD/DO)</t>
  </si>
  <si>
    <t xml:space="preserve">🥉 #3 — Strongest professional satisfaction (85% career satisfaction). Excellent blend of surgery + clinic. Match is competitive but more achievable than derm (~55% vs ~1-2%). Best "realistic MD track" for most applicants.</t>
  </si>
  <si>
    <t xml:space="preserve">Podiatric Surgery
(DPM)</t>
  </si>
  <si>
    <t xml:space="preserve">#4 — Best guaranteed path to a surgical career. No match risk, practicing by 29, decent earnings ($500K peak). But poor resilience to reimbursement cuts and limited pivotability. The "safe floor" choice.</t>
  </si>
  <si>
    <t xml:space="preserve">Wound Care / DLS
(DPM)</t>
  </si>
  <si>
    <t xml:space="preserve">#5 — Highest demand growth (diabetic epidemic), fastest to practice. But extremely exposed to Medicare cuts and lowest career satisfaction scores. Best for candidates who value job security over earnings ceiling.</t>
  </si>
  <si>
    <t xml:space="preserve">Sports Med/Biomech
(DPM)</t>
  </si>
  <si>
    <t xml:space="preserve">#6 — Best DPM lifestyle (44 hr/wk, low burnout) but weakest economics ($350K peak). Good work-life balance but lifetime earnings barely exceed some non-doctoral professions. Only recommended if lifestyle is the dominant priority.</t>
  </si>
  <si>
    <t xml:space="preserve">PERSONALIZED DECISION TREE</t>
  </si>
  <si>
    <t xml:space="preserve">❓ START HERE: Can you tolerate 12+ years of training and real match-failure risk?</t>
  </si>
  <si>
    <t xml:space="preserve">    ├─ YES → Are you a top-decile medical student (research, Step scores, honors)?</t>
  </si>
  <si>
    <t xml:space="preserve">    │    ├─ YES → Do you prefer repetitive high-volume procedural work or diagnostic variety?</t>
  </si>
  <si>
    <t xml:space="preserve">    │    │    ├─ PROCEDURAL → 🏆 Mohs Surgery (highest income, elite lifestyle, narrow scope)</t>
  </si>
  <si>
    <t xml:space="preserve">    │    │    └─ VARIETY → 🏆 General Dermatology (broader scope, cosmetics upside, more resilient)</t>
  </si>
  <si>
    <t xml:space="preserve">    │    └─ NO (competitive but not top-decile) → 🏆 Ophthalmology (more achievable match, excellent blend)</t>
  </si>
  <si>
    <t xml:space="preserve">    │</t>
  </si>
  <si>
    <t xml:space="preserve">    └─ NO → Do you want to guarantee a surgical career with zero match risk?</t>
  </si>
  <si>
    <t xml:space="preserve">         ├─ YES, and I want the highest DPM earnings → 🏆 Podiatric Surgery ($500K peak, surgical focus)</t>
  </si>
  <si>
    <t xml:space="preserve">         ├─ YES, and I want maximum demand/job security → 🏆 Wound Care ($400K peak, growing demand)</t>
  </si>
  <si>
    <t xml:space="preserve">         └─ YES, and lifestyle matters most → 🏆 Sports Medicine ($350K peak, best work-life)</t>
  </si>
  <si>
    <t xml:space="preserve">THE BOTTOM LINE</t>
  </si>
  <si>
    <t xml:space="preserve">If you're willing to bet on yourself and can handle the match gauntlet, General Dermatology (MD/DO) is the #1 recommendation. It offers the best risk-adjusted combination of earnings ($700K peak with cosmetics upside), lifestyle (43 hr/wk, no call, low burnout), career resilience (insurance-independent revenue, non-surgical pivots available), and professional satisfaction (88% career satisfaction). Mohs Surgery is the financial maximizer variant of the same path — same match bottleneck but $200K/yr more at peak.
If you need a guaranteed path or can't accept the match gamble, Podiatric Surgery is the pragmatic choice — you'll be practicing 2 years earlier with no entry risk, earning a comfortable $320-500K, and performing real surgery. The lifetime earnings gap is significant (~$5-8M less than derm) but the certainty premium may be worth it depending on your risk tolerance.
The worst mistake would be choosing a DPM track 'because it's easier' if your real goal is maximum earnings or prestige — the financial modeling shows the MD tracks dominate over a full career. Conversely, the worst mistake for a risk-averse person is betting 4 years of medical school on a 1-2% derm match probability.</t>
  </si>
</sst>
</file>

<file path=xl/styles.xml><?xml version="1.0" encoding="utf-8"?>
<styleSheet xmlns="http://schemas.openxmlformats.org/spreadsheetml/2006/main">
  <numFmts count="9">
    <numFmt numFmtId="164" formatCode="General"/>
    <numFmt numFmtId="165" formatCode="0.0"/>
    <numFmt numFmtId="166" formatCode="0.00"/>
    <numFmt numFmtId="167" formatCode="General"/>
    <numFmt numFmtId="168" formatCode="0\%"/>
    <numFmt numFmtId="169" formatCode="#,##0"/>
    <numFmt numFmtId="170" formatCode="0"/>
    <numFmt numFmtId="171" formatCode="\$#,##0"/>
    <numFmt numFmtId="172" formatCode="\$#,##0.0"/>
  </numFmts>
  <fonts count="4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CC0000"/>
      <name val="Arial"/>
      <family val="0"/>
      <charset val="1"/>
    </font>
    <font>
      <b val="true"/>
      <sz val="14"/>
      <color rgb="FF2F5496"/>
      <name val="Arial"/>
      <family val="0"/>
      <charset val="1"/>
    </font>
    <font>
      <b val="true"/>
      <sz val="10"/>
      <color rgb="FFFFFFFF"/>
      <name val="Arial"/>
      <family val="0"/>
      <charset val="1"/>
    </font>
    <font>
      <b val="true"/>
      <sz val="11"/>
      <name val="Arial"/>
      <family val="0"/>
      <charset val="1"/>
    </font>
    <font>
      <sz val="9"/>
      <color rgb="FF666666"/>
      <name val="Arial"/>
      <family val="0"/>
      <charset val="1"/>
    </font>
    <font>
      <i val="true"/>
      <sz val="10"/>
      <name val="Arial"/>
      <family val="0"/>
      <charset val="1"/>
    </font>
    <font>
      <b val="true"/>
      <sz val="10"/>
      <name val="Arial"/>
      <family val="0"/>
      <charset val="1"/>
    </font>
    <font>
      <b val="true"/>
      <sz val="12"/>
      <color rgb="FFFFFFFF"/>
      <name val="Arial"/>
      <family val="0"/>
      <charset val="1"/>
    </font>
    <font>
      <b val="true"/>
      <sz val="10"/>
      <color rgb="FFCC0000"/>
      <name val="Arial"/>
      <family val="0"/>
      <charset val="1"/>
    </font>
    <font>
      <b val="true"/>
      <sz val="14"/>
      <color rgb="FF1F4E79"/>
      <name val="Arial"/>
      <family val="0"/>
      <charset val="1"/>
    </font>
    <font>
      <i val="true"/>
      <sz val="9"/>
      <color rgb="FF666666"/>
      <name val="Arial"/>
      <family val="0"/>
      <charset val="1"/>
    </font>
    <font>
      <b val="true"/>
      <sz val="12"/>
      <color rgb="FF1F4E79"/>
      <name val="Arial"/>
      <family val="0"/>
      <charset val="1"/>
    </font>
    <font>
      <b val="true"/>
      <sz val="10"/>
      <color rgb="FF1F4E79"/>
      <name val="Arial"/>
      <family val="0"/>
      <charset val="1"/>
    </font>
    <font>
      <i val="true"/>
      <sz val="10"/>
      <color rgb="FF808080"/>
      <name val="Arial"/>
      <family val="0"/>
      <charset val="1"/>
    </font>
    <font>
      <b val="true"/>
      <sz val="11"/>
      <color rgb="FF1F4E79"/>
      <name val="Arial"/>
      <family val="0"/>
      <charset val="1"/>
    </font>
    <font>
      <sz val="9"/>
      <name val="Arial"/>
      <family val="0"/>
      <charset val="1"/>
    </font>
    <font>
      <b val="true"/>
      <sz val="11"/>
      <color rgb="FF006100"/>
      <name val="Arial"/>
      <family val="0"/>
      <charset val="1"/>
    </font>
    <font>
      <sz val="10"/>
      <color rgb="FF006100"/>
      <name val="Arial"/>
      <family val="0"/>
      <charset val="1"/>
    </font>
    <font>
      <b val="true"/>
      <sz val="11"/>
      <color rgb="FFCC0000"/>
      <name val="Arial"/>
      <family val="0"/>
      <charset val="1"/>
    </font>
    <font>
      <b val="true"/>
      <sz val="12"/>
      <color rgb="FFFFFFFF"/>
      <name val="Cambria"/>
      <family val="0"/>
      <charset val="1"/>
    </font>
    <font>
      <sz val="10"/>
      <name val="Cambria"/>
      <family val="0"/>
      <charset val="1"/>
    </font>
    <font>
      <sz val="10"/>
      <color rgb="FF000000"/>
      <name val="Cambria"/>
      <family val="0"/>
      <charset val="1"/>
    </font>
    <font>
      <i val="true"/>
      <sz val="9"/>
      <color rgb="FF666666"/>
      <name val="Cambria"/>
      <family val="0"/>
      <charset val="1"/>
    </font>
    <font>
      <b val="true"/>
      <sz val="10"/>
      <color rgb="FFC00000"/>
      <name val="Cambria"/>
      <family val="0"/>
      <charset val="1"/>
    </font>
    <font>
      <sz val="10"/>
      <color rgb="FF2F5496"/>
      <name val="Cambria"/>
      <family val="0"/>
      <charset val="1"/>
    </font>
    <font>
      <b val="true"/>
      <sz val="11"/>
      <name val="Cambria"/>
      <family val="0"/>
      <charset val="1"/>
    </font>
    <font>
      <b val="true"/>
      <sz val="11"/>
      <color rgb="FF2F5496"/>
      <name val="Cambria"/>
      <family val="0"/>
      <charset val="1"/>
    </font>
    <font>
      <b val="true"/>
      <sz val="12"/>
      <color rgb="FF2F5496"/>
      <name val="Cambria"/>
      <family val="0"/>
      <charset val="1"/>
    </font>
    <font>
      <b val="true"/>
      <sz val="10"/>
      <color rgb="FF2F5496"/>
      <name val="Arial"/>
      <family val="0"/>
      <charset val="1"/>
    </font>
    <font>
      <i val="true"/>
      <sz val="8"/>
      <color rgb="FF808080"/>
      <name val="Arial"/>
      <family val="0"/>
      <charset val="1"/>
    </font>
    <font>
      <b val="true"/>
      <sz val="9"/>
      <name val="Arial"/>
      <family val="0"/>
      <charset val="1"/>
    </font>
    <font>
      <i val="true"/>
      <sz val="9"/>
      <color rgb="FF808080"/>
      <name val="Arial"/>
      <family val="0"/>
      <charset val="1"/>
    </font>
    <font>
      <b val="true"/>
      <sz val="12"/>
      <color rgb="FF2F5496"/>
      <name val="Arial"/>
      <family val="0"/>
      <charset val="1"/>
    </font>
    <font>
      <b val="true"/>
      <sz val="10"/>
      <color rgb="FF006100"/>
      <name val="Arial"/>
      <family val="0"/>
      <charset val="1"/>
    </font>
    <font>
      <sz val="10"/>
      <color rgb="FF0000FF"/>
      <name val="Arial"/>
      <family val="0"/>
      <charset val="1"/>
    </font>
    <font>
      <b val="true"/>
      <sz val="14"/>
      <name val="Arial"/>
      <family val="0"/>
      <charset val="1"/>
    </font>
    <font>
      <b val="true"/>
      <sz val="14"/>
      <color rgb="FFFFFFFF"/>
      <name val="Arial"/>
      <family val="0"/>
      <charset val="1"/>
    </font>
  </fonts>
  <fills count="18">
    <fill>
      <patternFill patternType="none"/>
    </fill>
    <fill>
      <patternFill patternType="gray125"/>
    </fill>
    <fill>
      <patternFill patternType="solid">
        <fgColor rgb="FF2F5496"/>
        <bgColor rgb="FF1F4E79"/>
      </patternFill>
    </fill>
    <fill>
      <patternFill patternType="solid">
        <fgColor rgb="FF4472C4"/>
        <bgColor rgb="FF2F5496"/>
      </patternFill>
    </fill>
    <fill>
      <patternFill patternType="solid">
        <fgColor rgb="FFFFF2CC"/>
        <bgColor rgb="FFFCE4EC"/>
      </patternFill>
    </fill>
    <fill>
      <patternFill patternType="solid">
        <fgColor rgb="FFFFC7CE"/>
        <bgColor rgb="FFFCE4EC"/>
      </patternFill>
    </fill>
    <fill>
      <patternFill patternType="solid">
        <fgColor rgb="FFC6EFCE"/>
        <bgColor rgb="FFE2EFDA"/>
      </patternFill>
    </fill>
    <fill>
      <patternFill patternType="solid">
        <fgColor rgb="FFD6E4F0"/>
        <bgColor rgb="FFE8EAF6"/>
      </patternFill>
    </fill>
    <fill>
      <patternFill patternType="solid">
        <fgColor rgb="FF1F3864"/>
        <bgColor rgb="FF1F4E79"/>
      </patternFill>
    </fill>
    <fill>
      <patternFill patternType="solid">
        <fgColor rgb="FFFFD700"/>
        <bgColor rgb="FFFFFF00"/>
      </patternFill>
    </fill>
    <fill>
      <patternFill patternType="solid">
        <fgColor rgb="FFC0C0C0"/>
        <bgColor rgb="FFB4C6E7"/>
      </patternFill>
    </fill>
    <fill>
      <patternFill patternType="solid">
        <fgColor rgb="FFCD7F32"/>
        <bgColor rgb="FFFF8080"/>
      </patternFill>
    </fill>
    <fill>
      <patternFill patternType="solid">
        <fgColor rgb="FFE2EFDA"/>
        <bgColor rgb="FFE8EAF6"/>
      </patternFill>
    </fill>
    <fill>
      <patternFill patternType="solid">
        <fgColor rgb="FF1F4E79"/>
        <bgColor rgb="FF2F5496"/>
      </patternFill>
    </fill>
    <fill>
      <patternFill patternType="solid">
        <fgColor rgb="FFFCE4EC"/>
        <bgColor rgb="FFE8EAF6"/>
      </patternFill>
    </fill>
    <fill>
      <patternFill patternType="solid">
        <fgColor rgb="FFE8EAF6"/>
        <bgColor rgb="FFE2EFDA"/>
      </patternFill>
    </fill>
    <fill>
      <patternFill patternType="solid">
        <fgColor rgb="FFE8C078"/>
        <bgColor rgb="FFFFC7CE"/>
      </patternFill>
    </fill>
    <fill>
      <patternFill patternType="solid">
        <fgColor rgb="FFFFEB9C"/>
        <bgColor rgb="FFFFF2CC"/>
      </patternFill>
    </fill>
  </fills>
  <borders count="4">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right style="thin"/>
      <top style="thin"/>
      <bottom style="thin"/>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5" fontId="9" fillId="6"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6" fontId="13" fillId="8"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9" fillId="9"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12" fillId="9" borderId="1" xfId="0" applyFont="true" applyBorder="true" applyAlignment="true" applyProtection="false">
      <alignment horizontal="center" vertical="bottom" textRotation="0" wrapText="false" indent="0" shrinkToFit="false"/>
      <protection locked="true" hidden="false"/>
    </xf>
    <xf numFmtId="164" fontId="5" fillId="10" borderId="1" xfId="0" applyFont="true" applyBorder="true" applyAlignment="true" applyProtection="false">
      <alignment horizontal="center" vertical="bottom" textRotation="0" wrapText="false" indent="0" shrinkToFit="false"/>
      <protection locked="true" hidden="false"/>
    </xf>
    <xf numFmtId="164" fontId="5" fillId="11"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7" fillId="12" borderId="0" xfId="0" applyFont="true" applyBorder="true" applyAlignment="true" applyProtection="false">
      <alignment horizontal="general" vertical="bottom" textRotation="0" wrapText="false" indent="0" shrinkToFit="false"/>
      <protection locked="true" hidden="false"/>
    </xf>
    <xf numFmtId="164" fontId="4" fillId="13" borderId="0" xfId="0" applyFont="true" applyBorder="false" applyAlignment="true" applyProtection="false">
      <alignment horizontal="center" vertical="bottom" textRotation="0" wrapText="false" indent="0" shrinkToFit="false"/>
      <protection locked="true" hidden="false"/>
    </xf>
    <xf numFmtId="164" fontId="4" fillId="13" borderId="0" xfId="0" applyFont="true" applyBorder="false" applyAlignment="true" applyProtection="false">
      <alignment horizontal="general" vertical="bottom" textRotation="0" wrapText="false" indent="0" shrinkToFit="false"/>
      <protection locked="true" hidden="false"/>
    </xf>
    <xf numFmtId="164" fontId="4" fillId="13" borderId="0" xfId="0" applyFont="true" applyBorder="false" applyAlignment="true" applyProtection="false">
      <alignment horizontal="center" vertical="bottom"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8" fillId="7"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5" borderId="1" xfId="0" applyFont="true" applyBorder="true" applyAlignment="true" applyProtection="false">
      <alignment horizontal="center" vertical="bottom" textRotation="0" wrapText="false" indent="0" shrinkToFit="false"/>
      <protection locked="true" hidden="false"/>
    </xf>
    <xf numFmtId="165" fontId="5" fillId="6" borderId="1" xfId="0" applyFont="true" applyBorder="true" applyAlignment="true" applyProtection="false">
      <alignment horizontal="center" vertical="bottom" textRotation="0" wrapText="false" indent="0" shrinkToFit="false"/>
      <protection locked="true" hidden="false"/>
    </xf>
    <xf numFmtId="164" fontId="17" fillId="4" borderId="0" xfId="0" applyFont="true" applyBorder="true" applyAlignment="true" applyProtection="false">
      <alignment horizontal="general" vertical="bottom" textRotation="0" wrapText="false" indent="0" shrinkToFit="false"/>
      <protection locked="true" hidden="false"/>
    </xf>
    <xf numFmtId="164" fontId="17" fillId="14" borderId="0" xfId="0" applyFont="true" applyBorder="true" applyAlignment="true" applyProtection="false">
      <alignment horizontal="general" vertical="bottom" textRotation="0" wrapText="false" indent="0" shrinkToFit="false"/>
      <protection locked="true" hidden="false"/>
    </xf>
    <xf numFmtId="164" fontId="17" fillId="15" borderId="0" xfId="0" applyFont="true" applyBorder="true" applyAlignment="true" applyProtection="false">
      <alignment horizontal="general" vertical="bottom" textRotation="0" wrapText="false" indent="0" shrinkToFit="false"/>
      <protection locked="true" hidden="false"/>
    </xf>
    <xf numFmtId="164" fontId="5" fillId="9" borderId="0" xfId="0" applyFont="true" applyBorder="false" applyAlignment="true" applyProtection="false">
      <alignment horizontal="center" vertical="bottom" textRotation="0" wrapText="false" indent="0" shrinkToFit="false"/>
      <protection locked="true" hidden="false"/>
    </xf>
    <xf numFmtId="164" fontId="5" fillId="12" borderId="0" xfId="0" applyFont="true" applyBorder="false" applyAlignment="true" applyProtection="false">
      <alignment horizontal="general" vertical="bottom" textRotation="0" wrapText="false" indent="0" shrinkToFit="false"/>
      <protection locked="true" hidden="false"/>
    </xf>
    <xf numFmtId="166" fontId="19" fillId="5" borderId="1" xfId="0" applyFont="true" applyBorder="true" applyAlignment="true" applyProtection="false">
      <alignment horizontal="center" vertical="bottom" textRotation="0" wrapText="false" indent="0" shrinkToFit="false"/>
      <protection locked="true" hidden="false"/>
    </xf>
    <xf numFmtId="166" fontId="19"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6" fontId="5" fillId="6" borderId="1" xfId="0" applyFont="true" applyBorder="true" applyAlignment="true" applyProtection="false">
      <alignment horizontal="center" vertical="bottom" textRotation="0" wrapText="false" indent="0" shrinkToFit="false"/>
      <protection locked="true" hidden="false"/>
    </xf>
    <xf numFmtId="166" fontId="12" fillId="12" borderId="0" xfId="0" applyFont="true" applyBorder="false" applyAlignment="true" applyProtection="false">
      <alignment horizontal="center" vertical="bottom" textRotation="0" wrapText="false" indent="0" shrinkToFit="false"/>
      <protection locked="true" hidden="false"/>
    </xf>
    <xf numFmtId="164" fontId="5" fillId="10" borderId="0" xfId="0" applyFont="true" applyBorder="false" applyAlignment="true" applyProtection="false">
      <alignment horizontal="center" vertical="bottom" textRotation="0" wrapText="false" indent="0" shrinkToFit="false"/>
      <protection locked="true" hidden="false"/>
    </xf>
    <xf numFmtId="164" fontId="5" fillId="14" borderId="0" xfId="0" applyFont="true" applyBorder="false" applyAlignment="true" applyProtection="false">
      <alignment horizontal="general" vertical="bottom" textRotation="0" wrapText="false" indent="0" shrinkToFit="false"/>
      <protection locked="true" hidden="false"/>
    </xf>
    <xf numFmtId="166" fontId="12" fillId="14" borderId="0" xfId="0" applyFont="true" applyBorder="false" applyAlignment="true" applyProtection="false">
      <alignment horizontal="center" vertical="bottom" textRotation="0" wrapText="false" indent="0" shrinkToFit="false"/>
      <protection locked="true" hidden="false"/>
    </xf>
    <xf numFmtId="164" fontId="5" fillId="16" borderId="0" xfId="0" applyFont="true" applyBorder="false" applyAlignment="true" applyProtection="false">
      <alignment horizontal="center" vertical="bottom" textRotation="0" wrapText="false" indent="0" shrinkToFit="false"/>
      <protection locked="true" hidden="false"/>
    </xf>
    <xf numFmtId="166" fontId="5" fillId="5" borderId="1" xfId="0" applyFont="true" applyBorder="true" applyAlignment="true" applyProtection="false">
      <alignment horizontal="center" vertical="bottom" textRotation="0" wrapText="false" indent="0" shrinkToFit="false"/>
      <protection locked="true" hidden="false"/>
    </xf>
    <xf numFmtId="164" fontId="5" fillId="14" borderId="0" xfId="0" applyFont="true" applyBorder="false" applyAlignment="true" applyProtection="false">
      <alignment horizontal="center" vertical="bottom" textRotation="0" wrapText="false" indent="0" shrinkToFit="false"/>
      <protection locked="true" hidden="false"/>
    </xf>
    <xf numFmtId="164" fontId="5" fillId="12"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6" fontId="12" fillId="4" borderId="0" xfId="0" applyFont="true" applyBorder="false" applyAlignment="true" applyProtection="false">
      <alignment horizontal="center" vertical="bottom" textRotation="0" wrapText="false" indent="0" shrinkToFit="false"/>
      <protection locked="true" hidden="false"/>
    </xf>
    <xf numFmtId="164" fontId="5" fillId="15" borderId="0" xfId="0" applyFont="true" applyBorder="false" applyAlignment="true" applyProtection="false">
      <alignment horizontal="center"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false" indent="0" shrinkToFit="false"/>
      <protection locked="true" hidden="false"/>
    </xf>
    <xf numFmtId="166" fontId="12" fillId="15" borderId="0" xfId="0" applyFont="true" applyBorder="false" applyAlignment="true" applyProtection="false">
      <alignment horizontal="center" vertical="bottom" textRotation="0" wrapText="false" indent="0" shrinkToFit="false"/>
      <protection locked="true" hidden="false"/>
    </xf>
    <xf numFmtId="166" fontId="12" fillId="9" borderId="1" xfId="0" applyFont="true" applyBorder="true" applyAlignment="true" applyProtection="false">
      <alignment horizontal="center" vertical="bottom" textRotation="0" wrapText="false" indent="0" shrinkToFit="false"/>
      <protection locked="true" hidden="false"/>
    </xf>
    <xf numFmtId="166" fontId="5" fillId="16" borderId="1" xfId="0" applyFont="true" applyBorder="true" applyAlignment="true" applyProtection="false">
      <alignment horizontal="center" vertical="bottom" textRotation="0" wrapText="false" indent="0" shrinkToFit="false"/>
      <protection locked="true" hidden="false"/>
    </xf>
    <xf numFmtId="165" fontId="12" fillId="12" borderId="0" xfId="0" applyFont="true" applyBorder="false" applyAlignment="true" applyProtection="false">
      <alignment horizontal="center" vertical="bottom" textRotation="0" wrapText="false" indent="0" shrinkToFit="false"/>
      <protection locked="true" hidden="false"/>
    </xf>
    <xf numFmtId="164" fontId="12" fillId="12" borderId="0" xfId="0" applyFont="true" applyBorder="false" applyAlignment="true" applyProtection="false">
      <alignment horizontal="center" vertical="bottom" textRotation="0" wrapText="false" indent="0" shrinkToFit="false"/>
      <protection locked="true" hidden="false"/>
    </xf>
    <xf numFmtId="166" fontId="5" fillId="10" borderId="1" xfId="0" applyFont="true" applyBorder="true" applyAlignment="true" applyProtection="false">
      <alignment horizontal="center" vertical="bottom" textRotation="0" wrapText="false" indent="0" shrinkToFit="false"/>
      <protection locked="true" hidden="false"/>
    </xf>
    <xf numFmtId="165" fontId="12" fillId="14" borderId="0" xfId="0" applyFont="true" applyBorder="false" applyAlignment="true" applyProtection="false">
      <alignment horizontal="center" vertical="bottom" textRotation="0" wrapText="false" indent="0" shrinkToFit="false"/>
      <protection locked="true" hidden="false"/>
    </xf>
    <xf numFmtId="164" fontId="12" fillId="14" borderId="0" xfId="0" applyFont="true" applyBorder="false" applyAlignment="true" applyProtection="false">
      <alignment horizontal="center" vertical="bottom" textRotation="0" wrapText="false" indent="0" shrinkToFit="false"/>
      <protection locked="true" hidden="false"/>
    </xf>
    <xf numFmtId="165" fontId="12" fillId="4" borderId="0" xfId="0" applyFont="true" applyBorder="false" applyAlignment="true" applyProtection="false">
      <alignment horizontal="center"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64" fontId="20" fillId="7" borderId="0" xfId="0" applyFont="true" applyBorder="tru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4" fontId="20" fillId="12" borderId="0" xfId="0" applyFont="true" applyBorder="true" applyAlignment="true" applyProtection="false">
      <alignment horizontal="general" vertical="bottom" textRotation="0" wrapText="false" indent="0" shrinkToFit="false"/>
      <protection locked="true" hidden="false"/>
    </xf>
    <xf numFmtId="164" fontId="5" fillId="12" borderId="1" xfId="0" applyFont="true" applyBorder="true" applyAlignment="true" applyProtection="false">
      <alignment horizontal="center" vertical="bottom" textRotation="0" wrapText="false" indent="0" shrinkToFit="false"/>
      <protection locked="true" hidden="false"/>
    </xf>
    <xf numFmtId="164" fontId="5" fillId="12" borderId="1"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20" fillId="14" borderId="0" xfId="0" applyFont="true" applyBorder="true" applyAlignment="true" applyProtection="false">
      <alignment horizontal="general" vertical="bottom" textRotation="0" wrapText="false" indent="0" shrinkToFit="false"/>
      <protection locked="true" hidden="false"/>
    </xf>
    <xf numFmtId="164" fontId="5" fillId="14" borderId="1" xfId="0" applyFont="true" applyBorder="true" applyAlignment="true" applyProtection="false">
      <alignment horizontal="center" vertical="bottom" textRotation="0" wrapText="false" indent="0" shrinkToFit="false"/>
      <protection locked="true" hidden="false"/>
    </xf>
    <xf numFmtId="164" fontId="5" fillId="14" borderId="1" xfId="0" applyFont="true" applyBorder="true" applyAlignment="true" applyProtection="false">
      <alignment horizontal="general" vertical="bottom" textRotation="0" wrapText="false" indent="0" shrinkToFit="false"/>
      <protection locked="true" hidden="false"/>
    </xf>
    <xf numFmtId="164" fontId="20" fillId="15" borderId="0" xfId="0" applyFont="true" applyBorder="true" applyAlignment="true" applyProtection="false">
      <alignment horizontal="general" vertical="bottom" textRotation="0" wrapText="false" indent="0" shrinkToFit="false"/>
      <protection locked="true" hidden="false"/>
    </xf>
    <xf numFmtId="164" fontId="5" fillId="15" borderId="1" xfId="0" applyFont="true" applyBorder="true" applyAlignment="true" applyProtection="false">
      <alignment horizontal="center" vertical="bottom" textRotation="0" wrapText="false" indent="0" shrinkToFit="false"/>
      <protection locked="true" hidden="false"/>
    </xf>
    <xf numFmtId="164" fontId="5" fillId="15" borderId="1" xfId="0" applyFont="true" applyBorder="true" applyAlignment="true" applyProtection="false">
      <alignment horizontal="general" vertical="bottom" textRotation="0" wrapText="false" indent="0" shrinkToFit="false"/>
      <protection locked="true" hidden="false"/>
    </xf>
    <xf numFmtId="164" fontId="22" fillId="6" borderId="0" xfId="0" applyFont="true" applyBorder="true" applyAlignment="true" applyProtection="false">
      <alignment horizontal="general" vertical="bottom" textRotation="0" wrapText="false" indent="0" shrinkToFit="false"/>
      <protection locked="true" hidden="false"/>
    </xf>
    <xf numFmtId="164" fontId="23" fillId="6"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25" fillId="2" borderId="2" xfId="0" applyFont="true" applyBorder="true" applyAlignment="true" applyProtection="false">
      <alignment horizontal="center" vertical="bottom" textRotation="0" wrapText="false" indent="0" shrinkToFit="false"/>
      <protection locked="true" hidden="false"/>
    </xf>
    <xf numFmtId="164" fontId="26" fillId="0" borderId="2" xfId="0" applyFont="true" applyBorder="true" applyAlignment="true" applyProtection="false">
      <alignment horizontal="general" vertical="center" textRotation="0" wrapText="false" indent="0" shrinkToFit="false"/>
      <protection locked="true" hidden="false"/>
    </xf>
    <xf numFmtId="164" fontId="25" fillId="2" borderId="2" xfId="0" applyFont="true" applyBorder="true" applyAlignment="true" applyProtection="false">
      <alignment horizontal="center" vertical="bottom" textRotation="0" wrapText="tru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64" fontId="27" fillId="0" borderId="2" xfId="0" applyFont="true" applyBorder="true" applyAlignment="true" applyProtection="false">
      <alignment horizontal="general" vertical="center" textRotation="0" wrapText="true" indent="0" shrinkToFit="false"/>
      <protection locked="true" hidden="false"/>
    </xf>
    <xf numFmtId="164" fontId="28" fillId="0" borderId="2" xfId="0" applyFont="true" applyBorder="true" applyAlignment="true" applyProtection="false">
      <alignment horizontal="general" vertical="center" textRotation="0" wrapText="true" indent="0" shrinkToFit="false"/>
      <protection locked="true" hidden="false"/>
    </xf>
    <xf numFmtId="164" fontId="29" fillId="0" borderId="2" xfId="0" applyFont="true" applyBorder="true" applyAlignment="true" applyProtection="false">
      <alignment horizontal="general" vertical="center" textRotation="0" wrapText="true" indent="0" shrinkToFit="false"/>
      <protection locked="true" hidden="false"/>
    </xf>
    <xf numFmtId="164" fontId="30"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31" fillId="0" borderId="2" xfId="0" applyFont="true" applyBorder="true" applyAlignment="true" applyProtection="false">
      <alignment horizontal="general" vertical="bottom" textRotation="0" wrapText="false" indent="0" shrinkToFit="false"/>
      <protection locked="true" hidden="false"/>
    </xf>
    <xf numFmtId="167" fontId="32" fillId="0" borderId="2" xfId="0" applyFont="true" applyBorder="true" applyAlignment="tru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left" vertical="center" textRotation="0" wrapText="false" indent="0" shrinkToFit="false"/>
      <protection locked="true" hidden="false"/>
    </xf>
    <xf numFmtId="164" fontId="26" fillId="0" borderId="2" xfId="0" applyFont="true" applyBorder="true" applyAlignment="true" applyProtection="false">
      <alignment horizontal="center" vertical="center" textRotation="0" wrapText="false" indent="0" shrinkToFit="false"/>
      <protection locked="true" hidden="false"/>
    </xf>
    <xf numFmtId="164" fontId="30" fillId="0" borderId="2"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34" fillId="7" borderId="3" xfId="0" applyFont="true" applyBorder="true" applyAlignment="true" applyProtection="false">
      <alignment horizontal="center" vertical="top" textRotation="0" wrapText="false" indent="0" shrinkToFit="false"/>
      <protection locked="true" hidden="false"/>
    </xf>
    <xf numFmtId="164" fontId="8" fillId="2" borderId="3" xfId="0" applyFont="true" applyBorder="true" applyAlignment="true" applyProtection="false">
      <alignment horizontal="center" vertical="top" textRotation="0" wrapText="false" indent="0" shrinkToFit="false"/>
      <protection locked="true" hidden="false"/>
    </xf>
    <xf numFmtId="164" fontId="8" fillId="2" borderId="3" xfId="0" applyFont="true" applyBorder="true" applyAlignment="true" applyProtection="false">
      <alignment horizontal="center"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top" textRotation="0" wrapText="false" indent="0" shrinkToFit="false"/>
      <protection locked="true" hidden="false"/>
    </xf>
    <xf numFmtId="164" fontId="36" fillId="0" borderId="3" xfId="0" applyFont="true" applyBorder="true" applyAlignment="true" applyProtection="false">
      <alignment horizontal="general" vertical="top" textRotation="0" wrapText="true" indent="0" shrinkToFit="false"/>
      <protection locked="true" hidden="false"/>
    </xf>
    <xf numFmtId="164" fontId="21" fillId="0" borderId="3" xfId="0" applyFont="true" applyBorder="true" applyAlignment="true" applyProtection="false">
      <alignment horizontal="center" vertical="top" textRotation="0" wrapText="fals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37" fillId="0" borderId="0" xfId="0" applyFont="true" applyBorder="true" applyAlignment="true" applyProtection="false">
      <alignment horizontal="left" vertical="bottom"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34" fillId="7" borderId="1" xfId="0" applyFont="true" applyBorder="true" applyAlignment="true" applyProtection="false">
      <alignment horizontal="left" vertical="center" textRotation="0" wrapText="true" indent="0" shrinkToFit="false"/>
      <protection locked="true" hidden="false"/>
    </xf>
    <xf numFmtId="168" fontId="5" fillId="7" borderId="1" xfId="0" applyFont="true" applyBorder="true" applyAlignment="true" applyProtection="false">
      <alignment horizontal="center" vertical="center" textRotation="0" wrapText="true" indent="0" shrinkToFit="false"/>
      <protection locked="true" hidden="false"/>
    </xf>
    <xf numFmtId="166" fontId="5" fillId="5" borderId="1" xfId="0" applyFont="true" applyBorder="true" applyAlignment="true" applyProtection="false">
      <alignment horizontal="center" vertical="center" textRotation="0" wrapText="true" indent="0" shrinkToFit="false"/>
      <protection locked="true" hidden="false"/>
    </xf>
    <xf numFmtId="166" fontId="5" fillId="6"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true" applyAlignment="true" applyProtection="false">
      <alignment horizontal="left" vertical="bottom" textRotation="0" wrapText="false" indent="0" shrinkToFit="false"/>
      <protection locked="true" hidden="false"/>
    </xf>
    <xf numFmtId="164" fontId="34" fillId="0" borderId="1" xfId="0" applyFont="true" applyBorder="true" applyAlignment="true" applyProtection="false">
      <alignment horizontal="left" vertical="bottom" textRotation="0" wrapText="fals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21" fillId="0" borderId="0" xfId="0" applyFont="true" applyBorder="true" applyAlignment="true" applyProtection="false">
      <alignment horizontal="left" vertical="bottom" textRotation="0" wrapText="true" indent="0" shrinkToFit="false"/>
      <protection locked="true" hidden="false"/>
    </xf>
    <xf numFmtId="164" fontId="36" fillId="0" borderId="1" xfId="0" applyFont="true" applyBorder="true" applyAlignment="true" applyProtection="false">
      <alignment horizontal="left" vertical="bottom" textRotation="0" wrapText="true" indent="0" shrinkToFit="false"/>
      <protection locked="true" hidden="false"/>
    </xf>
    <xf numFmtId="169" fontId="40" fillId="0" borderId="1" xfId="0" applyFont="true" applyBorder="true" applyAlignment="true" applyProtection="false">
      <alignment horizontal="center" vertical="center" textRotation="0" wrapText="true" indent="0" shrinkToFit="false"/>
      <protection locked="true" hidden="false"/>
    </xf>
    <xf numFmtId="165" fontId="40"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bottom" textRotation="0" wrapText="true" indent="0" shrinkToFit="false"/>
      <protection locked="true" hidden="false"/>
    </xf>
    <xf numFmtId="170" fontId="5" fillId="6"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center" vertical="center" textRotation="0" wrapText="true" indent="0" shrinkToFit="false"/>
      <protection locked="true" hidden="false"/>
    </xf>
    <xf numFmtId="170" fontId="5" fillId="5" borderId="1" xfId="0" applyFont="true" applyBorder="true" applyAlignment="true" applyProtection="false">
      <alignment horizontal="center" vertical="center" textRotation="0" wrapText="true" indent="0" shrinkToFit="false"/>
      <protection locked="true" hidden="false"/>
    </xf>
    <xf numFmtId="171" fontId="5" fillId="5" borderId="1" xfId="0" applyFont="true" applyBorder="true" applyAlignment="true" applyProtection="false">
      <alignment horizontal="center" vertical="center" textRotation="0" wrapText="true" indent="0" shrinkToFit="false"/>
      <protection locked="true" hidden="false"/>
    </xf>
    <xf numFmtId="171" fontId="5" fillId="0" borderId="1" xfId="0" applyFont="true" applyBorder="true" applyAlignment="true" applyProtection="false">
      <alignment horizontal="center" vertical="center" textRotation="0" wrapText="true" indent="0" shrinkToFit="false"/>
      <protection locked="true" hidden="false"/>
    </xf>
    <xf numFmtId="171" fontId="5" fillId="6" borderId="1" xfId="0" applyFont="true" applyBorder="true" applyAlignment="true" applyProtection="false">
      <alignment horizontal="center" vertical="center" textRotation="0" wrapText="true" indent="0" shrinkToFit="false"/>
      <protection locked="true" hidden="false"/>
    </xf>
    <xf numFmtId="172" fontId="5" fillId="5" borderId="1" xfId="0" applyFont="true" applyBorder="true" applyAlignment="true" applyProtection="false">
      <alignment horizontal="center" vertical="center" textRotation="0" wrapText="true" indent="0" shrinkToFit="false"/>
      <protection locked="true" hidden="false"/>
    </xf>
    <xf numFmtId="172" fontId="5" fillId="0" borderId="1" xfId="0" applyFont="true" applyBorder="true" applyAlignment="true" applyProtection="false">
      <alignment horizontal="center" vertical="center" textRotation="0" wrapText="true" indent="0" shrinkToFit="false"/>
      <protection locked="true" hidden="false"/>
    </xf>
    <xf numFmtId="172" fontId="5" fillId="6"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71" fontId="5" fillId="17"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71" fontId="12" fillId="6"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bottom"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4" fontId="41" fillId="9"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41" fillId="10" borderId="1" xfId="0" applyFont="true" applyBorder="true" applyAlignment="true" applyProtection="false">
      <alignment horizontal="center" vertical="center" textRotation="0" wrapText="true" indent="0" shrinkToFit="false"/>
      <protection locked="true" hidden="false"/>
    </xf>
    <xf numFmtId="164" fontId="41" fillId="11"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bottom" textRotation="0" wrapText="true" indent="0" shrinkToFit="false"/>
      <protection locked="true" hidden="false"/>
    </xf>
    <xf numFmtId="164" fontId="34"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6" borderId="0" xfId="0" applyFont="true" applyBorder="true" applyAlignment="true" applyProtection="false">
      <alignment horizontal="left" vertical="bottom" textRotation="0" wrapText="true" indent="0" shrinkToFit="false"/>
      <protection locked="true" hidden="false"/>
    </xf>
    <xf numFmtId="164" fontId="5" fillId="7" borderId="0" xfId="0" applyFont="true" applyBorder="true" applyAlignment="true" applyProtection="false">
      <alignment horizontal="left" vertical="bottom" textRotation="0" wrapText="true" indent="0" shrinkToFit="false"/>
      <protection locked="true" hidden="false"/>
    </xf>
    <xf numFmtId="164" fontId="5" fillId="17" borderId="0" xfId="0" applyFont="true" applyBorder="true" applyAlignment="true" applyProtection="false">
      <alignment horizontal="left" vertical="bottom" textRotation="0" wrapText="true" indent="0" shrinkToFit="false"/>
      <protection locked="true" hidden="false"/>
    </xf>
    <xf numFmtId="164" fontId="42" fillId="2"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C00000"/>
      <rgbColor rgb="FF006100"/>
      <rgbColor rgb="FF000080"/>
      <rgbColor rgb="FF808000"/>
      <rgbColor rgb="FF800080"/>
      <rgbColor rgb="FF008080"/>
      <rgbColor rgb="FFC0C0C0"/>
      <rgbColor rgb="FF808080"/>
      <rgbColor rgb="FFE8EAF6"/>
      <rgbColor rgb="FF993366"/>
      <rgbColor rgb="FFFFF2CC"/>
      <rgbColor rgb="FFE2EFD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6E4F0"/>
      <rgbColor rgb="FFC6EFCE"/>
      <rgbColor rgb="FFFFEB9C"/>
      <rgbColor rgb="FFB4C6E7"/>
      <rgbColor rgb="FFE8C078"/>
      <rgbColor rgb="FFFCE4EC"/>
      <rgbColor rgb="FFFFC7CE"/>
      <rgbColor rgb="FF4472C4"/>
      <rgbColor rgb="FF33CCCC"/>
      <rgbColor rgb="FF99CC00"/>
      <rgbColor rgb="FFFFD700"/>
      <rgbColor rgb="FFFF9900"/>
      <rgbColor rgb="FFCD7F32"/>
      <rgbColor rgb="FF666666"/>
      <rgbColor rgb="FF969696"/>
      <rgbColor rgb="FF1F3864"/>
      <rgbColor rgb="FF339966"/>
      <rgbColor rgb="FF003300"/>
      <rgbColor rgb="FF333300"/>
      <rgbColor rgb="FF993300"/>
      <rgbColor rgb="FF993366"/>
      <rgbColor rgb="FF2F5496"/>
      <rgbColor rgb="FF1F4E7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4" min="3" style="1" width="10"/>
    <col collapsed="false" customWidth="true" hidden="false" outlineLevel="0" max="8" min="5" style="1" width="36"/>
    <col collapsed="false" customWidth="true" hidden="false" outlineLevel="0" max="9" min="9" style="1" width="28"/>
  </cols>
  <sheetData>
    <row r="1" customFormat="false" ht="30" hidden="false" customHeight="true" outlineLevel="0" collapsed="false">
      <c r="A1" s="2" t="s">
        <v>0</v>
      </c>
      <c r="B1" s="2" t="s">
        <v>1</v>
      </c>
      <c r="C1" s="2" t="s">
        <v>2</v>
      </c>
      <c r="D1" s="2" t="s">
        <v>3</v>
      </c>
      <c r="E1" s="2" t="s">
        <v>4</v>
      </c>
      <c r="F1" s="2" t="s">
        <v>5</v>
      </c>
      <c r="G1" s="2" t="s">
        <v>6</v>
      </c>
      <c r="H1" s="2" t="s">
        <v>7</v>
      </c>
      <c r="I1" s="2" t="s">
        <v>8</v>
      </c>
    </row>
    <row r="2" customFormat="false" ht="24.75" hidden="false" customHeight="true" outlineLevel="0" collapsed="false">
      <c r="A2" s="3"/>
      <c r="B2" s="3" t="s">
        <v>9</v>
      </c>
      <c r="C2" s="3"/>
      <c r="D2" s="3"/>
      <c r="E2" s="3"/>
      <c r="F2" s="3"/>
      <c r="G2" s="3"/>
      <c r="H2" s="3"/>
      <c r="I2" s="3"/>
    </row>
    <row r="3" customFormat="false" ht="54.75" hidden="false" customHeight="true" outlineLevel="0" collapsed="false">
      <c r="A3" s="4" t="n">
        <v>1</v>
      </c>
      <c r="B3" s="4" t="s">
        <v>10</v>
      </c>
      <c r="C3" s="5" t="s">
        <v>11</v>
      </c>
      <c r="D3" s="5" t="s">
        <v>12</v>
      </c>
      <c r="E3" s="4" t="s">
        <v>13</v>
      </c>
      <c r="F3" s="4" t="s">
        <v>14</v>
      </c>
      <c r="G3" s="4" t="s">
        <v>15</v>
      </c>
      <c r="H3" s="4" t="s">
        <v>16</v>
      </c>
      <c r="I3" s="4"/>
    </row>
    <row r="4" customFormat="false" ht="54.75" hidden="false" customHeight="true" outlineLevel="0" collapsed="false">
      <c r="A4" s="4" t="n">
        <v>2</v>
      </c>
      <c r="B4" s="4" t="s">
        <v>17</v>
      </c>
      <c r="C4" s="5" t="s">
        <v>18</v>
      </c>
      <c r="D4" s="5" t="s">
        <v>19</v>
      </c>
      <c r="E4" s="4" t="s">
        <v>20</v>
      </c>
      <c r="F4" s="4" t="s">
        <v>20</v>
      </c>
      <c r="G4" s="4" t="s">
        <v>21</v>
      </c>
      <c r="H4" s="4" t="s">
        <v>22</v>
      </c>
      <c r="I4" s="4" t="s">
        <v>23</v>
      </c>
    </row>
    <row r="5" customFormat="false" ht="54.75" hidden="false" customHeight="true" outlineLevel="0" collapsed="false">
      <c r="A5" s="4" t="n">
        <v>3</v>
      </c>
      <c r="B5" s="4" t="s">
        <v>24</v>
      </c>
      <c r="C5" s="5" t="s">
        <v>11</v>
      </c>
      <c r="D5" s="5" t="s">
        <v>12</v>
      </c>
      <c r="E5" s="4" t="s">
        <v>25</v>
      </c>
      <c r="F5" s="4" t="s">
        <v>26</v>
      </c>
      <c r="G5" s="4" t="s">
        <v>27</v>
      </c>
      <c r="H5" s="4" t="s">
        <v>28</v>
      </c>
      <c r="I5" s="4" t="s">
        <v>29</v>
      </c>
    </row>
    <row r="6" customFormat="false" ht="54.75" hidden="false" customHeight="true" outlineLevel="0" collapsed="false">
      <c r="A6" s="4" t="n">
        <v>4</v>
      </c>
      <c r="B6" s="4" t="s">
        <v>30</v>
      </c>
      <c r="C6" s="5" t="s">
        <v>31</v>
      </c>
      <c r="D6" s="5" t="s">
        <v>19</v>
      </c>
      <c r="E6" s="4" t="s">
        <v>32</v>
      </c>
      <c r="F6" s="4" t="s">
        <v>33</v>
      </c>
      <c r="G6" s="4" t="s">
        <v>34</v>
      </c>
      <c r="H6" s="4" t="s">
        <v>35</v>
      </c>
      <c r="I6" s="4" t="s">
        <v>36</v>
      </c>
    </row>
    <row r="7" customFormat="false" ht="54.75" hidden="false" customHeight="true" outlineLevel="0" collapsed="false">
      <c r="A7" s="4" t="n">
        <v>5</v>
      </c>
      <c r="B7" s="4" t="s">
        <v>37</v>
      </c>
      <c r="C7" s="5" t="s">
        <v>18</v>
      </c>
      <c r="D7" s="5" t="s">
        <v>19</v>
      </c>
      <c r="E7" s="4" t="s">
        <v>38</v>
      </c>
      <c r="F7" s="4" t="s">
        <v>39</v>
      </c>
      <c r="G7" s="4" t="s">
        <v>40</v>
      </c>
      <c r="H7" s="4" t="s">
        <v>41</v>
      </c>
      <c r="I7" s="4"/>
    </row>
    <row r="8" customFormat="false" ht="54.75" hidden="false" customHeight="true" outlineLevel="0" collapsed="false">
      <c r="A8" s="4" t="n">
        <v>6</v>
      </c>
      <c r="B8" s="4" t="s">
        <v>42</v>
      </c>
      <c r="C8" s="5" t="s">
        <v>31</v>
      </c>
      <c r="D8" s="5" t="s">
        <v>19</v>
      </c>
      <c r="E8" s="4" t="s">
        <v>43</v>
      </c>
      <c r="F8" s="4" t="s">
        <v>44</v>
      </c>
      <c r="G8" s="4" t="s">
        <v>45</v>
      </c>
      <c r="H8" s="4" t="s">
        <v>46</v>
      </c>
      <c r="I8" s="4" t="s">
        <v>47</v>
      </c>
    </row>
    <row r="9" customFormat="false" ht="54.75" hidden="false" customHeight="true" outlineLevel="0" collapsed="false">
      <c r="A9" s="4" t="n">
        <v>7</v>
      </c>
      <c r="B9" s="4" t="s">
        <v>48</v>
      </c>
      <c r="C9" s="5" t="s">
        <v>49</v>
      </c>
      <c r="D9" s="5" t="s">
        <v>12</v>
      </c>
      <c r="E9" s="4" t="s">
        <v>50</v>
      </c>
      <c r="F9" s="4" t="s">
        <v>51</v>
      </c>
      <c r="G9" s="4" t="s">
        <v>52</v>
      </c>
      <c r="H9" s="4" t="s">
        <v>53</v>
      </c>
      <c r="I9" s="4"/>
    </row>
    <row r="10" customFormat="false" ht="24.75" hidden="false" customHeight="true" outlineLevel="0" collapsed="false">
      <c r="A10" s="3"/>
      <c r="B10" s="3" t="s">
        <v>54</v>
      </c>
      <c r="C10" s="3"/>
      <c r="D10" s="3"/>
      <c r="E10" s="3"/>
      <c r="F10" s="3"/>
      <c r="G10" s="3"/>
      <c r="H10" s="3"/>
      <c r="I10" s="3"/>
    </row>
    <row r="11" customFormat="false" ht="54.75" hidden="false" customHeight="true" outlineLevel="0" collapsed="false">
      <c r="A11" s="4" t="n">
        <v>8</v>
      </c>
      <c r="B11" s="4" t="s">
        <v>55</v>
      </c>
      <c r="C11" s="5" t="s">
        <v>18</v>
      </c>
      <c r="D11" s="5" t="s">
        <v>12</v>
      </c>
      <c r="E11" s="4" t="s">
        <v>56</v>
      </c>
      <c r="F11" s="4" t="s">
        <v>57</v>
      </c>
      <c r="G11" s="4" t="s">
        <v>58</v>
      </c>
      <c r="H11" s="4" t="s">
        <v>59</v>
      </c>
      <c r="I11" s="4" t="s">
        <v>60</v>
      </c>
    </row>
    <row r="12" customFormat="false" ht="54.75" hidden="false" customHeight="true" outlineLevel="0" collapsed="false">
      <c r="A12" s="4" t="n">
        <v>9</v>
      </c>
      <c r="B12" s="4" t="s">
        <v>61</v>
      </c>
      <c r="C12" s="5" t="s">
        <v>18</v>
      </c>
      <c r="D12" s="5" t="s">
        <v>12</v>
      </c>
      <c r="E12" s="4" t="s">
        <v>62</v>
      </c>
      <c r="F12" s="4" t="s">
        <v>63</v>
      </c>
      <c r="G12" s="4" t="s">
        <v>64</v>
      </c>
      <c r="H12" s="4" t="s">
        <v>65</v>
      </c>
      <c r="I12" s="4"/>
    </row>
    <row r="13" customFormat="false" ht="54.75" hidden="false" customHeight="true" outlineLevel="0" collapsed="false">
      <c r="A13" s="4" t="n">
        <v>10</v>
      </c>
      <c r="B13" s="4" t="s">
        <v>66</v>
      </c>
      <c r="C13" s="5" t="s">
        <v>18</v>
      </c>
      <c r="D13" s="5" t="s">
        <v>19</v>
      </c>
      <c r="E13" s="4" t="s">
        <v>67</v>
      </c>
      <c r="F13" s="4" t="s">
        <v>68</v>
      </c>
      <c r="G13" s="4" t="s">
        <v>69</v>
      </c>
      <c r="H13" s="4" t="s">
        <v>70</v>
      </c>
      <c r="I13" s="4" t="s">
        <v>71</v>
      </c>
    </row>
    <row r="14" customFormat="false" ht="54.75" hidden="false" customHeight="true" outlineLevel="0" collapsed="false">
      <c r="A14" s="4" t="n">
        <v>11</v>
      </c>
      <c r="B14" s="4" t="s">
        <v>72</v>
      </c>
      <c r="C14" s="5" t="s">
        <v>18</v>
      </c>
      <c r="D14" s="5" t="s">
        <v>12</v>
      </c>
      <c r="E14" s="4" t="s">
        <v>73</v>
      </c>
      <c r="F14" s="4" t="s">
        <v>74</v>
      </c>
      <c r="G14" s="4" t="s">
        <v>75</v>
      </c>
      <c r="H14" s="4" t="s">
        <v>76</v>
      </c>
      <c r="I14" s="4"/>
    </row>
    <row r="15" customFormat="false" ht="54.75" hidden="false" customHeight="true" outlineLevel="0" collapsed="false">
      <c r="A15" s="4" t="n">
        <v>12</v>
      </c>
      <c r="B15" s="4" t="s">
        <v>77</v>
      </c>
      <c r="C15" s="5" t="s">
        <v>18</v>
      </c>
      <c r="D15" s="5" t="s">
        <v>12</v>
      </c>
      <c r="E15" s="4" t="s">
        <v>78</v>
      </c>
      <c r="F15" s="4" t="s">
        <v>79</v>
      </c>
      <c r="G15" s="4" t="s">
        <v>80</v>
      </c>
      <c r="H15" s="4" t="s">
        <v>81</v>
      </c>
      <c r="I15" s="4" t="s">
        <v>82</v>
      </c>
    </row>
    <row r="16" customFormat="false" ht="54.75" hidden="false" customHeight="true" outlineLevel="0" collapsed="false">
      <c r="A16" s="4" t="n">
        <v>13</v>
      </c>
      <c r="B16" s="4" t="s">
        <v>83</v>
      </c>
      <c r="C16" s="5" t="s">
        <v>31</v>
      </c>
      <c r="D16" s="5" t="s">
        <v>19</v>
      </c>
      <c r="E16" s="4" t="s">
        <v>84</v>
      </c>
      <c r="F16" s="4" t="s">
        <v>85</v>
      </c>
      <c r="G16" s="4" t="s">
        <v>86</v>
      </c>
      <c r="H16" s="4" t="s">
        <v>87</v>
      </c>
      <c r="I16" s="4" t="s">
        <v>88</v>
      </c>
    </row>
    <row r="17" customFormat="false" ht="54.75" hidden="false" customHeight="true" outlineLevel="0" collapsed="false">
      <c r="A17" s="4" t="n">
        <v>14</v>
      </c>
      <c r="B17" s="4" t="s">
        <v>89</v>
      </c>
      <c r="C17" s="5" t="s">
        <v>11</v>
      </c>
      <c r="D17" s="5" t="s">
        <v>12</v>
      </c>
      <c r="E17" s="4" t="s">
        <v>90</v>
      </c>
      <c r="F17" s="4" t="s">
        <v>91</v>
      </c>
      <c r="G17" s="4" t="s">
        <v>92</v>
      </c>
      <c r="H17" s="4" t="s">
        <v>93</v>
      </c>
      <c r="I17" s="4"/>
    </row>
    <row r="18" customFormat="false" ht="24.75" hidden="false" customHeight="true" outlineLevel="0" collapsed="false">
      <c r="A18" s="3"/>
      <c r="B18" s="3" t="s">
        <v>94</v>
      </c>
      <c r="C18" s="3"/>
      <c r="D18" s="3"/>
      <c r="E18" s="3"/>
      <c r="F18" s="3"/>
      <c r="G18" s="3"/>
      <c r="H18" s="3"/>
      <c r="I18" s="3"/>
    </row>
    <row r="19" customFormat="false" ht="54.75" hidden="false" customHeight="true" outlineLevel="0" collapsed="false">
      <c r="A19" s="4" t="n">
        <v>15</v>
      </c>
      <c r="B19" s="4" t="s">
        <v>95</v>
      </c>
      <c r="C19" s="5" t="s">
        <v>11</v>
      </c>
      <c r="D19" s="5" t="s">
        <v>12</v>
      </c>
      <c r="E19" s="4" t="s">
        <v>96</v>
      </c>
      <c r="F19" s="4" t="s">
        <v>97</v>
      </c>
      <c r="G19" s="4" t="s">
        <v>98</v>
      </c>
      <c r="H19" s="4" t="s">
        <v>99</v>
      </c>
      <c r="I19" s="4"/>
    </row>
    <row r="20" customFormat="false" ht="54.75" hidden="false" customHeight="true" outlineLevel="0" collapsed="false">
      <c r="A20" s="4" t="n">
        <v>16</v>
      </c>
      <c r="B20" s="4" t="s">
        <v>100</v>
      </c>
      <c r="C20" s="5" t="s">
        <v>18</v>
      </c>
      <c r="D20" s="5" t="s">
        <v>19</v>
      </c>
      <c r="E20" s="4" t="s">
        <v>20</v>
      </c>
      <c r="F20" s="4" t="s">
        <v>101</v>
      </c>
      <c r="G20" s="4" t="s">
        <v>20</v>
      </c>
      <c r="H20" s="4" t="s">
        <v>20</v>
      </c>
      <c r="I20" s="4" t="s">
        <v>102</v>
      </c>
    </row>
    <row r="21" customFormat="false" ht="54.75" hidden="false" customHeight="true" outlineLevel="0" collapsed="false">
      <c r="A21" s="4" t="n">
        <v>17</v>
      </c>
      <c r="B21" s="4" t="s">
        <v>103</v>
      </c>
      <c r="C21" s="5" t="s">
        <v>11</v>
      </c>
      <c r="D21" s="5" t="s">
        <v>12</v>
      </c>
      <c r="E21" s="4" t="s">
        <v>104</v>
      </c>
      <c r="F21" s="4" t="s">
        <v>105</v>
      </c>
      <c r="G21" s="4" t="s">
        <v>106</v>
      </c>
      <c r="H21" s="4" t="s">
        <v>107</v>
      </c>
      <c r="I21" s="4"/>
    </row>
    <row r="22" customFormat="false" ht="54.75" hidden="false" customHeight="true" outlineLevel="0" collapsed="false">
      <c r="A22" s="4" t="n">
        <v>18</v>
      </c>
      <c r="B22" s="4" t="s">
        <v>108</v>
      </c>
      <c r="C22" s="5" t="s">
        <v>11</v>
      </c>
      <c r="D22" s="5" t="s">
        <v>19</v>
      </c>
      <c r="E22" s="4" t="s">
        <v>109</v>
      </c>
      <c r="F22" s="4" t="s">
        <v>110</v>
      </c>
      <c r="G22" s="4" t="s">
        <v>111</v>
      </c>
      <c r="H22" s="4" t="s">
        <v>112</v>
      </c>
      <c r="I22" s="4" t="s">
        <v>113</v>
      </c>
    </row>
    <row r="23" customFormat="false" ht="54.75" hidden="false" customHeight="true" outlineLevel="0" collapsed="false">
      <c r="A23" s="4" t="n">
        <v>19</v>
      </c>
      <c r="B23" s="4" t="s">
        <v>114</v>
      </c>
      <c r="C23" s="5" t="s">
        <v>11</v>
      </c>
      <c r="D23" s="5" t="s">
        <v>12</v>
      </c>
      <c r="E23" s="4" t="s">
        <v>115</v>
      </c>
      <c r="F23" s="4" t="s">
        <v>116</v>
      </c>
      <c r="G23" s="4" t="s">
        <v>117</v>
      </c>
      <c r="H23" s="4" t="s">
        <v>118</v>
      </c>
      <c r="I23" s="4"/>
    </row>
    <row r="24" customFormat="false" ht="54.75" hidden="false" customHeight="true" outlineLevel="0" collapsed="false">
      <c r="A24" s="4" t="n">
        <v>20</v>
      </c>
      <c r="B24" s="4" t="s">
        <v>119</v>
      </c>
      <c r="C24" s="5" t="s">
        <v>18</v>
      </c>
      <c r="D24" s="5" t="s">
        <v>12</v>
      </c>
      <c r="E24" s="4" t="s">
        <v>120</v>
      </c>
      <c r="F24" s="4" t="s">
        <v>121</v>
      </c>
      <c r="G24" s="4" t="s">
        <v>122</v>
      </c>
      <c r="H24" s="4" t="s">
        <v>123</v>
      </c>
      <c r="I24" s="6" t="s">
        <v>124</v>
      </c>
    </row>
    <row r="25" customFormat="false" ht="54.75" hidden="false" customHeight="true" outlineLevel="0" collapsed="false">
      <c r="A25" s="4" t="n">
        <v>21</v>
      </c>
      <c r="B25" s="4" t="s">
        <v>125</v>
      </c>
      <c r="C25" s="5" t="s">
        <v>18</v>
      </c>
      <c r="D25" s="5" t="s">
        <v>12</v>
      </c>
      <c r="E25" s="4" t="s">
        <v>126</v>
      </c>
      <c r="F25" s="4" t="s">
        <v>127</v>
      </c>
      <c r="G25" s="4" t="s">
        <v>128</v>
      </c>
      <c r="H25" s="4" t="s">
        <v>129</v>
      </c>
      <c r="I25" s="4"/>
    </row>
    <row r="26" customFormat="false" ht="54.75" hidden="false" customHeight="true" outlineLevel="0" collapsed="false">
      <c r="A26" s="4" t="n">
        <v>22</v>
      </c>
      <c r="B26" s="4" t="s">
        <v>130</v>
      </c>
      <c r="C26" s="5" t="s">
        <v>18</v>
      </c>
      <c r="D26" s="5" t="s">
        <v>12</v>
      </c>
      <c r="E26" s="4" t="s">
        <v>131</v>
      </c>
      <c r="F26" s="4" t="s">
        <v>132</v>
      </c>
      <c r="G26" s="4" t="s">
        <v>133</v>
      </c>
      <c r="H26" s="4" t="s">
        <v>134</v>
      </c>
      <c r="I26" s="4"/>
    </row>
    <row r="27" customFormat="false" ht="54.75" hidden="false" customHeight="true" outlineLevel="0" collapsed="false">
      <c r="A27" s="4" t="n">
        <v>23</v>
      </c>
      <c r="B27" s="4" t="s">
        <v>135</v>
      </c>
      <c r="C27" s="5" t="s">
        <v>31</v>
      </c>
      <c r="D27" s="5" t="s">
        <v>19</v>
      </c>
      <c r="E27" s="4" t="s">
        <v>136</v>
      </c>
      <c r="F27" s="4" t="s">
        <v>137</v>
      </c>
      <c r="G27" s="4" t="s">
        <v>138</v>
      </c>
      <c r="H27" s="4" t="s">
        <v>139</v>
      </c>
      <c r="I27" s="4" t="s">
        <v>140</v>
      </c>
    </row>
    <row r="28" customFormat="false" ht="24.75" hidden="false" customHeight="true" outlineLevel="0" collapsed="false">
      <c r="A28" s="3"/>
      <c r="B28" s="3" t="s">
        <v>141</v>
      </c>
      <c r="C28" s="3"/>
      <c r="D28" s="3"/>
      <c r="E28" s="3"/>
      <c r="F28" s="3"/>
      <c r="G28" s="3"/>
      <c r="H28" s="3"/>
      <c r="I28" s="3"/>
    </row>
    <row r="29" customFormat="false" ht="54.75" hidden="false" customHeight="true" outlineLevel="0" collapsed="false">
      <c r="A29" s="4" t="n">
        <v>24</v>
      </c>
      <c r="B29" s="4" t="s">
        <v>142</v>
      </c>
      <c r="C29" s="5" t="s">
        <v>49</v>
      </c>
      <c r="D29" s="5" t="s">
        <v>19</v>
      </c>
      <c r="E29" s="4" t="s">
        <v>143</v>
      </c>
      <c r="F29" s="4" t="s">
        <v>144</v>
      </c>
      <c r="G29" s="4" t="s">
        <v>145</v>
      </c>
      <c r="H29" s="4" t="s">
        <v>146</v>
      </c>
      <c r="I29" s="4" t="s">
        <v>147</v>
      </c>
    </row>
    <row r="30" customFormat="false" ht="54.75" hidden="false" customHeight="true" outlineLevel="0" collapsed="false">
      <c r="A30" s="4" t="n">
        <v>27</v>
      </c>
      <c r="B30" s="4" t="s">
        <v>148</v>
      </c>
      <c r="C30" s="5" t="s">
        <v>11</v>
      </c>
      <c r="D30" s="5" t="s">
        <v>12</v>
      </c>
      <c r="E30" s="4" t="s">
        <v>149</v>
      </c>
      <c r="F30" s="4" t="s">
        <v>150</v>
      </c>
      <c r="G30" s="4" t="s">
        <v>151</v>
      </c>
      <c r="H30" s="4" t="s">
        <v>152</v>
      </c>
      <c r="I30" s="4"/>
    </row>
    <row r="31" customFormat="false" ht="54.75" hidden="false" customHeight="true" outlineLevel="0" collapsed="false">
      <c r="A31" s="4" t="n">
        <v>29</v>
      </c>
      <c r="B31" s="4" t="s">
        <v>153</v>
      </c>
      <c r="C31" s="5" t="s">
        <v>18</v>
      </c>
      <c r="D31" s="5" t="s">
        <v>12</v>
      </c>
      <c r="E31" s="4" t="s">
        <v>154</v>
      </c>
      <c r="F31" s="4" t="s">
        <v>155</v>
      </c>
      <c r="G31" s="4" t="s">
        <v>156</v>
      </c>
      <c r="H31" s="4" t="s">
        <v>157</v>
      </c>
      <c r="I31" s="4"/>
    </row>
    <row r="32" customFormat="false" ht="54.75" hidden="false" customHeight="true" outlineLevel="0" collapsed="false">
      <c r="A32" s="4" t="n">
        <v>30</v>
      </c>
      <c r="B32" s="4" t="s">
        <v>158</v>
      </c>
      <c r="C32" s="5" t="s">
        <v>49</v>
      </c>
      <c r="D32" s="5" t="s">
        <v>12</v>
      </c>
      <c r="E32" s="4" t="s">
        <v>159</v>
      </c>
      <c r="F32" s="4" t="s">
        <v>160</v>
      </c>
      <c r="G32" s="4" t="s">
        <v>161</v>
      </c>
      <c r="H32" s="4" t="s">
        <v>162</v>
      </c>
      <c r="I32" s="4"/>
    </row>
    <row r="33" customFormat="false" ht="54.75" hidden="false" customHeight="true" outlineLevel="0" collapsed="false">
      <c r="A33" s="4" t="n">
        <v>31</v>
      </c>
      <c r="B33" s="4" t="s">
        <v>163</v>
      </c>
      <c r="C33" s="5" t="s">
        <v>11</v>
      </c>
      <c r="D33" s="5" t="s">
        <v>12</v>
      </c>
      <c r="E33" s="4" t="s">
        <v>164</v>
      </c>
      <c r="F33" s="4" t="s">
        <v>165</v>
      </c>
      <c r="G33" s="4" t="s">
        <v>166</v>
      </c>
      <c r="H33" s="4" t="s">
        <v>167</v>
      </c>
      <c r="I33" s="4"/>
    </row>
    <row r="34" customFormat="false" ht="54.75" hidden="false" customHeight="true" outlineLevel="0" collapsed="false">
      <c r="A34" s="4" t="n">
        <v>32</v>
      </c>
      <c r="B34" s="4" t="s">
        <v>168</v>
      </c>
      <c r="C34" s="5" t="s">
        <v>18</v>
      </c>
      <c r="D34" s="5" t="s">
        <v>19</v>
      </c>
      <c r="E34" s="4" t="s">
        <v>169</v>
      </c>
      <c r="F34" s="4" t="s">
        <v>170</v>
      </c>
      <c r="G34" s="4" t="s">
        <v>171</v>
      </c>
      <c r="H34" s="4" t="s">
        <v>172</v>
      </c>
      <c r="I34" s="4" t="s">
        <v>173</v>
      </c>
    </row>
    <row r="35" customFormat="false" ht="24.75" hidden="false" customHeight="true" outlineLevel="0" collapsed="false">
      <c r="A35" s="3"/>
      <c r="B35" s="3" t="s">
        <v>174</v>
      </c>
      <c r="C35" s="3"/>
      <c r="D35" s="3"/>
      <c r="E35" s="3"/>
      <c r="F35" s="3"/>
      <c r="G35" s="3"/>
      <c r="H35" s="3"/>
      <c r="I35" s="3"/>
    </row>
    <row r="36" customFormat="false" ht="54.75" hidden="false" customHeight="true" outlineLevel="0" collapsed="false">
      <c r="A36" s="4" t="n">
        <v>33</v>
      </c>
      <c r="B36" s="4" t="s">
        <v>175</v>
      </c>
      <c r="C36" s="5" t="s">
        <v>18</v>
      </c>
      <c r="D36" s="5" t="s">
        <v>19</v>
      </c>
      <c r="E36" s="4" t="s">
        <v>176</v>
      </c>
      <c r="F36" s="4" t="s">
        <v>177</v>
      </c>
      <c r="G36" s="4" t="s">
        <v>178</v>
      </c>
      <c r="H36" s="4" t="s">
        <v>179</v>
      </c>
      <c r="I36" s="6" t="s">
        <v>180</v>
      </c>
    </row>
    <row r="37" customFormat="false" ht="54.75" hidden="false" customHeight="true" outlineLevel="0" collapsed="false">
      <c r="A37" s="4" t="n">
        <v>34</v>
      </c>
      <c r="B37" s="4" t="s">
        <v>181</v>
      </c>
      <c r="C37" s="5" t="s">
        <v>18</v>
      </c>
      <c r="D37" s="5" t="s">
        <v>19</v>
      </c>
      <c r="E37" s="4" t="s">
        <v>182</v>
      </c>
      <c r="F37" s="4" t="s">
        <v>183</v>
      </c>
      <c r="G37" s="4" t="s">
        <v>184</v>
      </c>
      <c r="H37" s="4" t="s">
        <v>185</v>
      </c>
      <c r="I37" s="4"/>
    </row>
    <row r="38" customFormat="false" ht="54.75" hidden="false" customHeight="true" outlineLevel="0" collapsed="false">
      <c r="A38" s="4" t="n">
        <v>35</v>
      </c>
      <c r="B38" s="4" t="s">
        <v>186</v>
      </c>
      <c r="C38" s="5" t="s">
        <v>18</v>
      </c>
      <c r="D38" s="5" t="s">
        <v>19</v>
      </c>
      <c r="E38" s="4" t="s">
        <v>187</v>
      </c>
      <c r="F38" s="4" t="s">
        <v>188</v>
      </c>
      <c r="G38" s="4" t="s">
        <v>189</v>
      </c>
      <c r="H38" s="4" t="s">
        <v>190</v>
      </c>
      <c r="I38" s="6" t="s">
        <v>191</v>
      </c>
    </row>
    <row r="39" customFormat="false" ht="54.75" hidden="false" customHeight="true" outlineLevel="0" collapsed="false">
      <c r="A39" s="4" t="n">
        <v>36</v>
      </c>
      <c r="B39" s="4" t="s">
        <v>192</v>
      </c>
      <c r="C39" s="5" t="s">
        <v>31</v>
      </c>
      <c r="D39" s="5" t="s">
        <v>12</v>
      </c>
      <c r="E39" s="4" t="s">
        <v>193</v>
      </c>
      <c r="F39" s="4" t="s">
        <v>194</v>
      </c>
      <c r="G39" s="4" t="s">
        <v>195</v>
      </c>
      <c r="H39" s="4" t="s">
        <v>196</v>
      </c>
      <c r="I39" s="4"/>
    </row>
    <row r="40" customFormat="false" ht="54.75" hidden="false" customHeight="true" outlineLevel="0" collapsed="false">
      <c r="A40" s="4" t="n">
        <v>37</v>
      </c>
      <c r="B40" s="4" t="s">
        <v>197</v>
      </c>
      <c r="C40" s="5" t="s">
        <v>18</v>
      </c>
      <c r="D40" s="5" t="s">
        <v>12</v>
      </c>
      <c r="E40" s="4" t="s">
        <v>198</v>
      </c>
      <c r="F40" s="4" t="s">
        <v>199</v>
      </c>
      <c r="G40" s="4" t="s">
        <v>200</v>
      </c>
      <c r="H40" s="4" t="s">
        <v>201</v>
      </c>
      <c r="I40" s="4" t="s">
        <v>202</v>
      </c>
    </row>
    <row r="41" customFormat="false" ht="54.75" hidden="false" customHeight="true" outlineLevel="0" collapsed="false">
      <c r="A41" s="4" t="n">
        <v>38</v>
      </c>
      <c r="B41" s="4" t="s">
        <v>203</v>
      </c>
      <c r="C41" s="5" t="s">
        <v>18</v>
      </c>
      <c r="D41" s="5" t="s">
        <v>19</v>
      </c>
      <c r="E41" s="4" t="s">
        <v>204</v>
      </c>
      <c r="F41" s="4" t="s">
        <v>205</v>
      </c>
      <c r="G41" s="4" t="s">
        <v>206</v>
      </c>
      <c r="H41" s="4" t="s">
        <v>207</v>
      </c>
      <c r="I41" s="4" t="s">
        <v>208</v>
      </c>
    </row>
    <row r="42" customFormat="false" ht="54.75" hidden="false" customHeight="true" outlineLevel="0" collapsed="false">
      <c r="A42" s="4" t="n">
        <v>39</v>
      </c>
      <c r="B42" s="4" t="s">
        <v>209</v>
      </c>
      <c r="C42" s="5" t="s">
        <v>11</v>
      </c>
      <c r="D42" s="5" t="s">
        <v>12</v>
      </c>
      <c r="E42" s="4" t="s">
        <v>210</v>
      </c>
      <c r="F42" s="4" t="s">
        <v>211</v>
      </c>
      <c r="G42" s="4" t="s">
        <v>212</v>
      </c>
      <c r="H42" s="4" t="s">
        <v>213</v>
      </c>
      <c r="I42" s="4"/>
    </row>
    <row r="43" customFormat="false" ht="54.75" hidden="false" customHeight="true" outlineLevel="0" collapsed="false">
      <c r="A43" s="4" t="n">
        <v>40</v>
      </c>
      <c r="B43" s="4" t="s">
        <v>214</v>
      </c>
      <c r="C43" s="5" t="s">
        <v>18</v>
      </c>
      <c r="D43" s="5" t="s">
        <v>19</v>
      </c>
      <c r="E43" s="4" t="s">
        <v>215</v>
      </c>
      <c r="F43" s="4" t="s">
        <v>216</v>
      </c>
      <c r="G43" s="4" t="s">
        <v>217</v>
      </c>
      <c r="H43" s="4" t="s">
        <v>218</v>
      </c>
      <c r="I43" s="4" t="s">
        <v>219</v>
      </c>
    </row>
    <row r="44" customFormat="false" ht="24.75" hidden="false" customHeight="true" outlineLevel="0" collapsed="false">
      <c r="A44" s="3"/>
      <c r="B44" s="3" t="s">
        <v>220</v>
      </c>
      <c r="C44" s="3"/>
      <c r="D44" s="3"/>
      <c r="E44" s="3"/>
      <c r="F44" s="3"/>
      <c r="G44" s="3"/>
      <c r="H44" s="3"/>
      <c r="I44" s="3"/>
    </row>
    <row r="45" customFormat="false" ht="54.75" hidden="false" customHeight="true" outlineLevel="0" collapsed="false">
      <c r="A45" s="4" t="n">
        <v>41</v>
      </c>
      <c r="B45" s="4" t="s">
        <v>221</v>
      </c>
      <c r="C45" s="5" t="s">
        <v>11</v>
      </c>
      <c r="D45" s="5" t="s">
        <v>19</v>
      </c>
      <c r="E45" s="4" t="s">
        <v>222</v>
      </c>
      <c r="F45" s="4" t="s">
        <v>223</v>
      </c>
      <c r="G45" s="4" t="s">
        <v>224</v>
      </c>
      <c r="H45" s="4" t="s">
        <v>225</v>
      </c>
      <c r="I45" s="4" t="s">
        <v>226</v>
      </c>
    </row>
    <row r="46" customFormat="false" ht="54.75" hidden="false" customHeight="true" outlineLevel="0" collapsed="false">
      <c r="A46" s="4" t="n">
        <v>42</v>
      </c>
      <c r="B46" s="4" t="s">
        <v>227</v>
      </c>
      <c r="C46" s="5" t="s">
        <v>31</v>
      </c>
      <c r="D46" s="5" t="s">
        <v>19</v>
      </c>
      <c r="E46" s="4" t="s">
        <v>228</v>
      </c>
      <c r="F46" s="4" t="s">
        <v>229</v>
      </c>
      <c r="G46" s="4" t="s">
        <v>230</v>
      </c>
      <c r="H46" s="4" t="s">
        <v>231</v>
      </c>
      <c r="I46" s="4" t="s">
        <v>232</v>
      </c>
    </row>
    <row r="47" customFormat="false" ht="54.75" hidden="false" customHeight="true" outlineLevel="0" collapsed="false">
      <c r="A47" s="4" t="n">
        <v>43</v>
      </c>
      <c r="B47" s="4" t="s">
        <v>233</v>
      </c>
      <c r="C47" s="5" t="s">
        <v>49</v>
      </c>
      <c r="D47" s="5" t="s">
        <v>19</v>
      </c>
      <c r="E47" s="4" t="s">
        <v>234</v>
      </c>
      <c r="F47" s="4" t="s">
        <v>235</v>
      </c>
      <c r="G47" s="4" t="s">
        <v>236</v>
      </c>
      <c r="H47" s="4" t="s">
        <v>237</v>
      </c>
      <c r="I47" s="4" t="s">
        <v>238</v>
      </c>
    </row>
    <row r="48" customFormat="false" ht="54.75" hidden="false" customHeight="true" outlineLevel="0" collapsed="false">
      <c r="A48" s="4" t="n">
        <v>44</v>
      </c>
      <c r="B48" s="4" t="s">
        <v>239</v>
      </c>
      <c r="C48" s="5" t="s">
        <v>11</v>
      </c>
      <c r="D48" s="5" t="s">
        <v>19</v>
      </c>
      <c r="E48" s="4" t="s">
        <v>240</v>
      </c>
      <c r="F48" s="4" t="s">
        <v>241</v>
      </c>
      <c r="G48" s="4" t="s">
        <v>242</v>
      </c>
      <c r="H48" s="4" t="s">
        <v>243</v>
      </c>
      <c r="I48" s="4"/>
    </row>
    <row r="49" customFormat="false" ht="54.75" hidden="false" customHeight="true" outlineLevel="0" collapsed="false">
      <c r="A49" s="4" t="n">
        <v>45</v>
      </c>
      <c r="B49" s="4" t="s">
        <v>244</v>
      </c>
      <c r="C49" s="5" t="s">
        <v>31</v>
      </c>
      <c r="D49" s="5" t="s">
        <v>19</v>
      </c>
      <c r="E49" s="4" t="s">
        <v>245</v>
      </c>
      <c r="F49" s="4" t="s">
        <v>246</v>
      </c>
      <c r="G49" s="4" t="s">
        <v>247</v>
      </c>
      <c r="H49" s="4" t="s">
        <v>248</v>
      </c>
      <c r="I49" s="4" t="s">
        <v>249</v>
      </c>
    </row>
    <row r="50" customFormat="false" ht="54.75" hidden="false" customHeight="true" outlineLevel="0" collapsed="false">
      <c r="A50" s="4" t="n">
        <v>46</v>
      </c>
      <c r="B50" s="4" t="s">
        <v>250</v>
      </c>
      <c r="C50" s="5" t="s">
        <v>31</v>
      </c>
      <c r="D50" s="5" t="s">
        <v>19</v>
      </c>
      <c r="E50" s="4" t="s">
        <v>251</v>
      </c>
      <c r="F50" s="4" t="s">
        <v>252</v>
      </c>
      <c r="G50" s="4" t="s">
        <v>253</v>
      </c>
      <c r="H50" s="4" t="s">
        <v>254</v>
      </c>
      <c r="I50" s="4" t="s">
        <v>255</v>
      </c>
    </row>
    <row r="51" customFormat="false" ht="54.75" hidden="false" customHeight="true" outlineLevel="0" collapsed="false">
      <c r="A51" s="4" t="n">
        <v>47</v>
      </c>
      <c r="B51" s="4" t="s">
        <v>256</v>
      </c>
      <c r="C51" s="5" t="s">
        <v>11</v>
      </c>
      <c r="D51" s="5" t="s">
        <v>12</v>
      </c>
      <c r="E51" s="4" t="s">
        <v>257</v>
      </c>
      <c r="F51" s="4" t="s">
        <v>258</v>
      </c>
      <c r="G51" s="4" t="s">
        <v>259</v>
      </c>
      <c r="H51" s="4" t="s">
        <v>260</v>
      </c>
      <c r="I51" s="4"/>
    </row>
    <row r="52" customFormat="false" ht="24.75" hidden="false" customHeight="true" outlineLevel="0" collapsed="false">
      <c r="A52" s="3"/>
      <c r="B52" s="3" t="s">
        <v>261</v>
      </c>
      <c r="C52" s="3"/>
      <c r="D52" s="3"/>
      <c r="E52" s="3"/>
      <c r="F52" s="3"/>
      <c r="G52" s="3"/>
      <c r="H52" s="3"/>
      <c r="I52" s="3"/>
    </row>
    <row r="53" customFormat="false" ht="54.75" hidden="false" customHeight="true" outlineLevel="0" collapsed="false">
      <c r="A53" s="4" t="n">
        <v>52</v>
      </c>
      <c r="B53" s="4" t="s">
        <v>262</v>
      </c>
      <c r="C53" s="5" t="s">
        <v>31</v>
      </c>
      <c r="D53" s="5" t="s">
        <v>19</v>
      </c>
      <c r="E53" s="4" t="s">
        <v>263</v>
      </c>
      <c r="F53" s="4" t="s">
        <v>264</v>
      </c>
      <c r="G53" s="4" t="s">
        <v>265</v>
      </c>
      <c r="H53" s="4" t="s">
        <v>266</v>
      </c>
      <c r="I53" s="4" t="s">
        <v>267</v>
      </c>
    </row>
    <row r="54" customFormat="false" ht="54.75" hidden="false" customHeight="true" outlineLevel="0" collapsed="false">
      <c r="A54" s="4" t="n">
        <v>53</v>
      </c>
      <c r="B54" s="4" t="s">
        <v>268</v>
      </c>
      <c r="C54" s="5" t="s">
        <v>31</v>
      </c>
      <c r="D54" s="5" t="s">
        <v>19</v>
      </c>
      <c r="E54" s="4" t="s">
        <v>269</v>
      </c>
      <c r="F54" s="4" t="s">
        <v>270</v>
      </c>
      <c r="G54" s="4" t="s">
        <v>271</v>
      </c>
      <c r="H54" s="4" t="s">
        <v>272</v>
      </c>
      <c r="I54" s="6" t="s">
        <v>273</v>
      </c>
    </row>
    <row r="55" customFormat="false" ht="24.75" hidden="false" customHeight="true" outlineLevel="0" collapsed="false">
      <c r="A55" s="3"/>
      <c r="B55" s="3" t="s">
        <v>274</v>
      </c>
      <c r="C55" s="3"/>
      <c r="D55" s="3"/>
      <c r="E55" s="3"/>
      <c r="F55" s="3"/>
      <c r="G55" s="3"/>
      <c r="H55" s="3"/>
      <c r="I55" s="3"/>
    </row>
    <row r="56" customFormat="false" ht="54.75" hidden="false" customHeight="true" outlineLevel="0" collapsed="false">
      <c r="A56" s="4" t="n">
        <v>62</v>
      </c>
      <c r="B56" s="4" t="s">
        <v>275</v>
      </c>
      <c r="C56" s="5" t="s">
        <v>11</v>
      </c>
      <c r="D56" s="5" t="s">
        <v>12</v>
      </c>
      <c r="E56" s="4" t="s">
        <v>276</v>
      </c>
      <c r="F56" s="4" t="s">
        <v>277</v>
      </c>
      <c r="G56" s="4" t="s">
        <v>278</v>
      </c>
      <c r="H56" s="4" t="s">
        <v>279</v>
      </c>
      <c r="I56" s="4"/>
    </row>
    <row r="57" customFormat="false" ht="24.75" hidden="false" customHeight="true" outlineLevel="0" collapsed="false">
      <c r="A57" s="3"/>
      <c r="B57" s="3" t="s">
        <v>280</v>
      </c>
      <c r="C57" s="3"/>
      <c r="D57" s="3"/>
      <c r="E57" s="3"/>
      <c r="F57" s="3"/>
      <c r="G57" s="3"/>
      <c r="H57" s="3"/>
      <c r="I57" s="3"/>
    </row>
    <row r="58" customFormat="false" ht="54.75" hidden="false" customHeight="true" outlineLevel="0" collapsed="false">
      <c r="A58" s="4" t="n">
        <v>71</v>
      </c>
      <c r="B58" s="4" t="s">
        <v>281</v>
      </c>
      <c r="C58" s="5" t="s">
        <v>31</v>
      </c>
      <c r="D58" s="5" t="s">
        <v>19</v>
      </c>
      <c r="E58" s="4" t="s">
        <v>282</v>
      </c>
      <c r="F58" s="4" t="s">
        <v>283</v>
      </c>
      <c r="G58" s="4" t="s">
        <v>284</v>
      </c>
      <c r="H58" s="4" t="s">
        <v>285</v>
      </c>
      <c r="I58" s="4" t="s">
        <v>286</v>
      </c>
    </row>
    <row r="59" customFormat="false" ht="54.75" hidden="false" customHeight="true" outlineLevel="0" collapsed="false">
      <c r="A59" s="4" t="n">
        <v>72</v>
      </c>
      <c r="B59" s="4" t="s">
        <v>287</v>
      </c>
      <c r="C59" s="5" t="s">
        <v>31</v>
      </c>
      <c r="D59" s="5" t="s">
        <v>19</v>
      </c>
      <c r="E59" s="4" t="s">
        <v>288</v>
      </c>
      <c r="F59" s="4" t="s">
        <v>289</v>
      </c>
      <c r="G59" s="4" t="s">
        <v>290</v>
      </c>
      <c r="H59" s="4" t="s">
        <v>291</v>
      </c>
      <c r="I59" s="6" t="s">
        <v>292</v>
      </c>
    </row>
    <row r="60" customFormat="false" ht="54.75" hidden="false" customHeight="true" outlineLevel="0" collapsed="false">
      <c r="A60" s="4" t="n">
        <v>74</v>
      </c>
      <c r="B60" s="4" t="s">
        <v>293</v>
      </c>
      <c r="C60" s="5" t="s">
        <v>11</v>
      </c>
      <c r="D60" s="5" t="s">
        <v>19</v>
      </c>
      <c r="E60" s="4" t="s">
        <v>294</v>
      </c>
      <c r="F60" s="4" t="s">
        <v>295</v>
      </c>
      <c r="G60" s="4" t="s">
        <v>296</v>
      </c>
      <c r="H60" s="4" t="s">
        <v>297</v>
      </c>
      <c r="I60" s="4" t="s">
        <v>298</v>
      </c>
    </row>
    <row r="61" customFormat="false" ht="54.75" hidden="false" customHeight="true" outlineLevel="0" collapsed="false">
      <c r="A61" s="4" t="n">
        <v>75</v>
      </c>
      <c r="B61" s="4" t="s">
        <v>299</v>
      </c>
      <c r="C61" s="5" t="s">
        <v>31</v>
      </c>
      <c r="D61" s="5" t="s">
        <v>19</v>
      </c>
      <c r="E61" s="4" t="s">
        <v>300</v>
      </c>
      <c r="F61" s="4" t="s">
        <v>301</v>
      </c>
      <c r="G61" s="4" t="s">
        <v>302</v>
      </c>
      <c r="H61" s="4" t="s">
        <v>303</v>
      </c>
      <c r="I61" s="4" t="s">
        <v>304</v>
      </c>
    </row>
    <row r="62" customFormat="false" ht="24.75" hidden="false" customHeight="true" outlineLevel="0" collapsed="false">
      <c r="A62" s="3"/>
      <c r="B62" s="3" t="s">
        <v>305</v>
      </c>
      <c r="C62" s="3"/>
      <c r="D62" s="3"/>
      <c r="E62" s="3"/>
      <c r="F62" s="3"/>
      <c r="G62" s="3"/>
      <c r="H62" s="3"/>
      <c r="I62" s="3"/>
    </row>
    <row r="63" customFormat="false" ht="54.75" hidden="false" customHeight="true" outlineLevel="0" collapsed="false">
      <c r="A63" s="4" t="n">
        <v>77</v>
      </c>
      <c r="B63" s="4" t="s">
        <v>306</v>
      </c>
      <c r="C63" s="5" t="s">
        <v>31</v>
      </c>
      <c r="D63" s="5" t="s">
        <v>19</v>
      </c>
      <c r="E63" s="4" t="s">
        <v>307</v>
      </c>
      <c r="F63" s="4" t="s">
        <v>308</v>
      </c>
      <c r="G63" s="4" t="s">
        <v>309</v>
      </c>
      <c r="H63" s="4" t="s">
        <v>310</v>
      </c>
      <c r="I63" s="4" t="s">
        <v>311</v>
      </c>
    </row>
    <row r="64" customFormat="false" ht="54.75" hidden="false" customHeight="true" outlineLevel="0" collapsed="false">
      <c r="A64" s="4" t="n">
        <v>79</v>
      </c>
      <c r="B64" s="4" t="s">
        <v>312</v>
      </c>
      <c r="C64" s="5" t="s">
        <v>11</v>
      </c>
      <c r="D64" s="5" t="s">
        <v>19</v>
      </c>
      <c r="E64" s="4" t="s">
        <v>313</v>
      </c>
      <c r="F64" s="4" t="s">
        <v>314</v>
      </c>
      <c r="G64" s="4" t="s">
        <v>315</v>
      </c>
      <c r="H64" s="4" t="s">
        <v>316</v>
      </c>
      <c r="I64" s="6" t="s">
        <v>317</v>
      </c>
    </row>
    <row r="65" customFormat="false" ht="54.75" hidden="false" customHeight="true" outlineLevel="0" collapsed="false">
      <c r="A65" s="4" t="n">
        <v>80</v>
      </c>
      <c r="B65" s="4" t="s">
        <v>318</v>
      </c>
      <c r="C65" s="5" t="s">
        <v>11</v>
      </c>
      <c r="D65" s="5" t="s">
        <v>19</v>
      </c>
      <c r="E65" s="4" t="s">
        <v>319</v>
      </c>
      <c r="F65" s="4" t="s">
        <v>320</v>
      </c>
      <c r="G65" s="4" t="s">
        <v>321</v>
      </c>
      <c r="H65" s="4" t="s">
        <v>322</v>
      </c>
      <c r="I65" s="4"/>
    </row>
    <row r="66" customFormat="false" ht="54.75" hidden="false" customHeight="true" outlineLevel="0" collapsed="false">
      <c r="A66" s="4" t="n">
        <v>82</v>
      </c>
      <c r="B66" s="4" t="s">
        <v>323</v>
      </c>
      <c r="C66" s="5" t="s">
        <v>31</v>
      </c>
      <c r="D66" s="5" t="s">
        <v>12</v>
      </c>
      <c r="E66" s="4" t="s">
        <v>324</v>
      </c>
      <c r="F66" s="4" t="s">
        <v>325</v>
      </c>
      <c r="G66" s="4" t="s">
        <v>326</v>
      </c>
      <c r="H66" s="4" t="s">
        <v>327</v>
      </c>
      <c r="I66" s="4" t="s">
        <v>328</v>
      </c>
    </row>
    <row r="67" customFormat="false" ht="24.75" hidden="false" customHeight="true" outlineLevel="0" collapsed="false">
      <c r="A67" s="3"/>
      <c r="B67" s="3" t="s">
        <v>329</v>
      </c>
      <c r="C67" s="3"/>
      <c r="D67" s="3"/>
      <c r="E67" s="3"/>
      <c r="F67" s="3"/>
      <c r="G67" s="3"/>
      <c r="H67" s="3"/>
      <c r="I67" s="3"/>
    </row>
    <row r="68" customFormat="false" ht="54.75" hidden="false" customHeight="true" outlineLevel="0" collapsed="false">
      <c r="A68" s="4" t="n">
        <v>85</v>
      </c>
      <c r="B68" s="4" t="s">
        <v>330</v>
      </c>
      <c r="C68" s="5" t="s">
        <v>31</v>
      </c>
      <c r="D68" s="5" t="s">
        <v>12</v>
      </c>
      <c r="E68" s="4" t="s">
        <v>331</v>
      </c>
      <c r="F68" s="4" t="s">
        <v>332</v>
      </c>
      <c r="G68" s="4" t="s">
        <v>333</v>
      </c>
      <c r="H68" s="4" t="s">
        <v>334</v>
      </c>
      <c r="I68" s="4"/>
    </row>
    <row r="69" customFormat="false" ht="54.75" hidden="false" customHeight="true" outlineLevel="0" collapsed="false">
      <c r="A69" s="4" t="n">
        <v>89</v>
      </c>
      <c r="B69" s="4" t="s">
        <v>335</v>
      </c>
      <c r="C69" s="5" t="s">
        <v>31</v>
      </c>
      <c r="D69" s="5" t="s">
        <v>12</v>
      </c>
      <c r="E69" s="4" t="s">
        <v>336</v>
      </c>
      <c r="F69" s="4" t="s">
        <v>337</v>
      </c>
      <c r="G69" s="4" t="s">
        <v>338</v>
      </c>
      <c r="H69" s="4" t="s">
        <v>339</v>
      </c>
      <c r="I69" s="4"/>
    </row>
    <row r="70" customFormat="false" ht="54.75" hidden="false" customHeight="true" outlineLevel="0" collapsed="false">
      <c r="A70" s="4" t="n">
        <v>90</v>
      </c>
      <c r="B70" s="4" t="s">
        <v>340</v>
      </c>
      <c r="C70" s="5" t="s">
        <v>31</v>
      </c>
      <c r="D70" s="5" t="s">
        <v>12</v>
      </c>
      <c r="E70" s="4" t="s">
        <v>341</v>
      </c>
      <c r="F70" s="4" t="s">
        <v>342</v>
      </c>
      <c r="G70" s="4" t="s">
        <v>343</v>
      </c>
      <c r="H70" s="4" t="s">
        <v>344</v>
      </c>
      <c r="I70" s="4"/>
    </row>
    <row r="71" customFormat="false" ht="54.75" hidden="false" customHeight="true" outlineLevel="0" collapsed="false">
      <c r="A71" s="4" t="n">
        <v>91</v>
      </c>
      <c r="B71" s="4" t="s">
        <v>345</v>
      </c>
      <c r="C71" s="5" t="s">
        <v>31</v>
      </c>
      <c r="D71" s="5" t="s">
        <v>19</v>
      </c>
      <c r="E71" s="4" t="s">
        <v>346</v>
      </c>
      <c r="F71" s="4" t="s">
        <v>347</v>
      </c>
      <c r="G71" s="4" t="s">
        <v>348</v>
      </c>
      <c r="H71" s="4" t="s">
        <v>349</v>
      </c>
      <c r="I71" s="4"/>
    </row>
    <row r="72" customFormat="false" ht="24.75" hidden="false" customHeight="true" outlineLevel="0" collapsed="false">
      <c r="A72" s="3"/>
      <c r="B72" s="3" t="s">
        <v>350</v>
      </c>
      <c r="C72" s="3"/>
      <c r="D72" s="3"/>
      <c r="E72" s="3"/>
      <c r="F72" s="3"/>
      <c r="G72" s="3"/>
      <c r="H72" s="3"/>
      <c r="I72" s="3"/>
    </row>
    <row r="73" customFormat="false" ht="54.75" hidden="false" customHeight="true" outlineLevel="0" collapsed="false">
      <c r="A73" s="4" t="n">
        <v>92</v>
      </c>
      <c r="B73" s="4" t="s">
        <v>351</v>
      </c>
      <c r="C73" s="5" t="s">
        <v>18</v>
      </c>
      <c r="D73" s="5" t="s">
        <v>12</v>
      </c>
      <c r="E73" s="4" t="s">
        <v>352</v>
      </c>
      <c r="F73" s="4" t="s">
        <v>353</v>
      </c>
      <c r="G73" s="4" t="s">
        <v>354</v>
      </c>
      <c r="H73" s="4" t="s">
        <v>355</v>
      </c>
      <c r="I73" s="4"/>
    </row>
    <row r="74" customFormat="false" ht="54.75" hidden="false" customHeight="true" outlineLevel="0" collapsed="false">
      <c r="A74" s="4" t="n">
        <v>93</v>
      </c>
      <c r="B74" s="4" t="s">
        <v>356</v>
      </c>
      <c r="C74" s="5" t="s">
        <v>11</v>
      </c>
      <c r="D74" s="5" t="s">
        <v>12</v>
      </c>
      <c r="E74" s="4" t="s">
        <v>357</v>
      </c>
      <c r="F74" s="4" t="s">
        <v>358</v>
      </c>
      <c r="G74" s="4" t="s">
        <v>359</v>
      </c>
      <c r="H74" s="4" t="s">
        <v>360</v>
      </c>
      <c r="I74" s="4"/>
    </row>
    <row r="75" customFormat="false" ht="54.75" hidden="false" customHeight="true" outlineLevel="0" collapsed="false">
      <c r="A75" s="4" t="n">
        <v>95</v>
      </c>
      <c r="B75" s="4" t="s">
        <v>361</v>
      </c>
      <c r="C75" s="5" t="s">
        <v>18</v>
      </c>
      <c r="D75" s="5" t="s">
        <v>19</v>
      </c>
      <c r="E75" s="4" t="s">
        <v>362</v>
      </c>
      <c r="F75" s="4" t="s">
        <v>363</v>
      </c>
      <c r="G75" s="4" t="s">
        <v>364</v>
      </c>
      <c r="H75" s="4" t="s">
        <v>365</v>
      </c>
      <c r="I75" s="4" t="s">
        <v>366</v>
      </c>
    </row>
    <row r="76" customFormat="false" ht="54.75" hidden="false" customHeight="true" outlineLevel="0" collapsed="false">
      <c r="A76" s="4" t="n">
        <v>96</v>
      </c>
      <c r="B76" s="4" t="s">
        <v>367</v>
      </c>
      <c r="C76" s="5" t="s">
        <v>31</v>
      </c>
      <c r="D76" s="5" t="s">
        <v>19</v>
      </c>
      <c r="E76" s="4" t="s">
        <v>368</v>
      </c>
      <c r="F76" s="4" t="s">
        <v>369</v>
      </c>
      <c r="G76" s="4" t="s">
        <v>370</v>
      </c>
      <c r="H76" s="4" t="s">
        <v>371</v>
      </c>
      <c r="I76" s="4"/>
    </row>
    <row r="77" customFormat="false" ht="54.75" hidden="false" customHeight="true" outlineLevel="0" collapsed="false">
      <c r="A77" s="4" t="n">
        <v>97</v>
      </c>
      <c r="B77" s="4" t="s">
        <v>372</v>
      </c>
      <c r="C77" s="5" t="s">
        <v>31</v>
      </c>
      <c r="D77" s="5" t="s">
        <v>12</v>
      </c>
      <c r="E77" s="4" t="s">
        <v>373</v>
      </c>
      <c r="F77" s="4" t="s">
        <v>374</v>
      </c>
      <c r="G77" s="4" t="s">
        <v>375</v>
      </c>
      <c r="H77" s="4" t="s">
        <v>376</v>
      </c>
      <c r="I77" s="4"/>
    </row>
    <row r="78" customFormat="false" ht="54.75" hidden="false" customHeight="true" outlineLevel="0" collapsed="false">
      <c r="A78" s="4" t="n">
        <v>98</v>
      </c>
      <c r="B78" s="4" t="s">
        <v>377</v>
      </c>
      <c r="C78" s="5" t="s">
        <v>31</v>
      </c>
      <c r="D78" s="5" t="s">
        <v>19</v>
      </c>
      <c r="E78" s="4" t="s">
        <v>378</v>
      </c>
      <c r="F78" s="4" t="s">
        <v>379</v>
      </c>
      <c r="G78" s="4" t="s">
        <v>380</v>
      </c>
      <c r="H78" s="4" t="s">
        <v>381</v>
      </c>
      <c r="I78" s="4" t="s">
        <v>382</v>
      </c>
    </row>
    <row r="79" customFormat="false" ht="54.75" hidden="false" customHeight="true" outlineLevel="0" collapsed="false">
      <c r="A79" s="4" t="n">
        <v>99</v>
      </c>
      <c r="B79" s="4" t="s">
        <v>383</v>
      </c>
      <c r="C79" s="5" t="s">
        <v>11</v>
      </c>
      <c r="D79" s="5" t="s">
        <v>12</v>
      </c>
      <c r="E79" s="4" t="s">
        <v>384</v>
      </c>
      <c r="F79" s="4" t="s">
        <v>385</v>
      </c>
      <c r="G79" s="4" t="s">
        <v>386</v>
      </c>
      <c r="H79" s="4" t="s">
        <v>387</v>
      </c>
      <c r="I79" s="4"/>
    </row>
    <row r="80" customFormat="false" ht="54.75" hidden="false" customHeight="true" outlineLevel="0" collapsed="false">
      <c r="A80" s="4" t="n">
        <v>100</v>
      </c>
      <c r="B80" s="4" t="s">
        <v>388</v>
      </c>
      <c r="C80" s="5" t="s">
        <v>31</v>
      </c>
      <c r="D80" s="5" t="s">
        <v>19</v>
      </c>
      <c r="E80" s="4" t="s">
        <v>389</v>
      </c>
      <c r="F80" s="4" t="s">
        <v>390</v>
      </c>
      <c r="G80" s="4" t="s">
        <v>391</v>
      </c>
      <c r="H80" s="4" t="s">
        <v>392</v>
      </c>
      <c r="I80" s="4"/>
    </row>
    <row r="81" customFormat="false" ht="24.75" hidden="false" customHeight="true" outlineLevel="0" collapsed="false">
      <c r="A81" s="3"/>
      <c r="B81" s="3" t="s">
        <v>393</v>
      </c>
      <c r="C81" s="3"/>
      <c r="D81" s="3"/>
      <c r="E81" s="3"/>
      <c r="F81" s="3"/>
      <c r="G81" s="3"/>
      <c r="H81" s="3"/>
      <c r="I81" s="3"/>
    </row>
    <row r="82" customFormat="false" ht="54.75" hidden="false" customHeight="true" outlineLevel="0" collapsed="false">
      <c r="A82" s="4" t="n">
        <v>104</v>
      </c>
      <c r="B82" s="4" t="s">
        <v>394</v>
      </c>
      <c r="C82" s="5" t="s">
        <v>31</v>
      </c>
      <c r="D82" s="5" t="s">
        <v>19</v>
      </c>
      <c r="E82" s="4" t="s">
        <v>395</v>
      </c>
      <c r="F82" s="4" t="s">
        <v>396</v>
      </c>
      <c r="G82" s="4" t="s">
        <v>397</v>
      </c>
      <c r="H82" s="4" t="s">
        <v>398</v>
      </c>
      <c r="I82" s="4" t="s">
        <v>399</v>
      </c>
    </row>
    <row r="83" customFormat="false" ht="54.75" hidden="false" customHeight="true" outlineLevel="0" collapsed="false">
      <c r="A83" s="4" t="n">
        <v>105</v>
      </c>
      <c r="B83" s="4" t="s">
        <v>400</v>
      </c>
      <c r="C83" s="5" t="s">
        <v>11</v>
      </c>
      <c r="D83" s="5" t="s">
        <v>12</v>
      </c>
      <c r="E83" s="4" t="s">
        <v>401</v>
      </c>
      <c r="F83" s="4" t="s">
        <v>402</v>
      </c>
      <c r="G83" s="4" t="s">
        <v>403</v>
      </c>
      <c r="H83" s="4" t="s">
        <v>404</v>
      </c>
      <c r="I83" s="4"/>
    </row>
    <row r="84" customFormat="false" ht="54.75" hidden="false" customHeight="true" outlineLevel="0" collapsed="false">
      <c r="A84" s="4" t="n">
        <v>106</v>
      </c>
      <c r="B84" s="4" t="s">
        <v>405</v>
      </c>
      <c r="C84" s="5" t="s">
        <v>11</v>
      </c>
      <c r="D84" s="5" t="s">
        <v>12</v>
      </c>
      <c r="E84" s="4" t="s">
        <v>406</v>
      </c>
      <c r="F84" s="4" t="s">
        <v>407</v>
      </c>
      <c r="G84" s="4" t="s">
        <v>408</v>
      </c>
      <c r="H84" s="4" t="s">
        <v>409</v>
      </c>
      <c r="I84" s="4" t="s">
        <v>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6"/>
    <col collapsed="false" customWidth="true" hidden="false" outlineLevel="0" max="6" min="3" style="1" width="12"/>
    <col collapsed="false" customWidth="true" hidden="false" outlineLevel="0" max="7" min="7" style="1" width="5"/>
    <col collapsed="false" customWidth="true" hidden="false" outlineLevel="0" max="8" min="8" style="1" width="30"/>
  </cols>
  <sheetData>
    <row r="1" customFormat="false" ht="17.25" hidden="false" customHeight="true" outlineLevel="0" collapsed="false">
      <c r="A1" s="7"/>
      <c r="B1" s="7" t="s">
        <v>411</v>
      </c>
      <c r="C1" s="7"/>
      <c r="D1" s="7"/>
      <c r="E1" s="7"/>
      <c r="F1" s="7"/>
      <c r="G1" s="7"/>
      <c r="H1" s="7"/>
    </row>
    <row r="2" customFormat="false" ht="24.75" hidden="false" customHeight="true" outlineLevel="0" collapsed="false">
      <c r="A2" s="8" t="s">
        <v>0</v>
      </c>
      <c r="B2" s="8" t="s">
        <v>1</v>
      </c>
      <c r="C2" s="8" t="s">
        <v>4</v>
      </c>
      <c r="D2" s="8" t="s">
        <v>5</v>
      </c>
      <c r="E2" s="8" t="s">
        <v>6</v>
      </c>
      <c r="F2" s="8" t="s">
        <v>7</v>
      </c>
      <c r="G2" s="8"/>
      <c r="H2" s="8" t="s">
        <v>412</v>
      </c>
    </row>
    <row r="3" customFormat="false" ht="15" hidden="false" customHeight="true" outlineLevel="0" collapsed="false">
      <c r="A3" s="9"/>
      <c r="B3" s="9" t="s">
        <v>413</v>
      </c>
      <c r="C3" s="9"/>
      <c r="D3" s="9"/>
      <c r="E3" s="9"/>
      <c r="F3" s="9"/>
      <c r="G3" s="9"/>
      <c r="H3" s="9"/>
    </row>
    <row r="4" customFormat="false" ht="15" hidden="false" customHeight="true" outlineLevel="0" collapsed="false">
      <c r="A4" s="10" t="n">
        <v>2</v>
      </c>
      <c r="B4" s="11" t="s">
        <v>414</v>
      </c>
      <c r="C4" s="12" t="n">
        <v>5</v>
      </c>
      <c r="D4" s="12" t="n">
        <v>5</v>
      </c>
      <c r="E4" s="12" t="n">
        <v>6</v>
      </c>
      <c r="F4" s="12" t="n">
        <v>6</v>
      </c>
      <c r="G4" s="13"/>
      <c r="H4" s="14" t="s">
        <v>415</v>
      </c>
    </row>
    <row r="5" customFormat="false" ht="21.75" hidden="false" customHeight="true" outlineLevel="0" collapsed="false">
      <c r="A5" s="10" t="n">
        <v>4</v>
      </c>
      <c r="B5" s="11" t="s">
        <v>30</v>
      </c>
      <c r="C5" s="15" t="n">
        <v>3</v>
      </c>
      <c r="D5" s="12" t="n">
        <v>5</v>
      </c>
      <c r="E5" s="16" t="n">
        <v>8</v>
      </c>
      <c r="F5" s="12" t="n">
        <v>6</v>
      </c>
      <c r="G5" s="13"/>
      <c r="H5" s="14" t="s">
        <v>416</v>
      </c>
    </row>
    <row r="6" customFormat="false" ht="21.75" hidden="false" customHeight="true" outlineLevel="0" collapsed="false">
      <c r="A6" s="10" t="n">
        <v>5</v>
      </c>
      <c r="B6" s="11" t="s">
        <v>417</v>
      </c>
      <c r="C6" s="15" t="n">
        <v>3</v>
      </c>
      <c r="D6" s="12" t="n">
        <v>4</v>
      </c>
      <c r="E6" s="16" t="n">
        <v>7</v>
      </c>
      <c r="F6" s="12" t="n">
        <v>5</v>
      </c>
      <c r="G6" s="13"/>
      <c r="H6" s="14" t="s">
        <v>418</v>
      </c>
    </row>
    <row r="7" customFormat="false" ht="21.75" hidden="false" customHeight="true" outlineLevel="0" collapsed="false">
      <c r="A7" s="10" t="n">
        <v>6</v>
      </c>
      <c r="B7" s="11" t="s">
        <v>42</v>
      </c>
      <c r="C7" s="15" t="n">
        <v>2</v>
      </c>
      <c r="D7" s="12" t="n">
        <v>5</v>
      </c>
      <c r="E7" s="16" t="n">
        <v>8</v>
      </c>
      <c r="F7" s="12" t="n">
        <v>7</v>
      </c>
      <c r="G7" s="13"/>
      <c r="H7" s="14" t="s">
        <v>419</v>
      </c>
    </row>
    <row r="8" customFormat="false" ht="15" hidden="false" customHeight="true" outlineLevel="0" collapsed="false">
      <c r="A8" s="9"/>
      <c r="B8" s="9" t="s">
        <v>420</v>
      </c>
      <c r="C8" s="9"/>
      <c r="D8" s="9"/>
      <c r="E8" s="9"/>
      <c r="F8" s="9"/>
      <c r="G8" s="9"/>
      <c r="H8" s="9"/>
    </row>
    <row r="9" customFormat="false" ht="21.75" hidden="false" customHeight="true" outlineLevel="0" collapsed="false">
      <c r="A9" s="10" t="n">
        <v>10</v>
      </c>
      <c r="B9" s="11" t="s">
        <v>66</v>
      </c>
      <c r="C9" s="15" t="n">
        <v>3</v>
      </c>
      <c r="D9" s="12" t="n">
        <v>5</v>
      </c>
      <c r="E9" s="16" t="n">
        <v>9</v>
      </c>
      <c r="F9" s="12" t="n">
        <v>7</v>
      </c>
      <c r="G9" s="13"/>
      <c r="H9" s="14" t="s">
        <v>421</v>
      </c>
    </row>
    <row r="10" customFormat="false" ht="21.75" hidden="false" customHeight="true" outlineLevel="0" collapsed="false">
      <c r="A10" s="10" t="n">
        <v>13</v>
      </c>
      <c r="B10" s="11" t="s">
        <v>83</v>
      </c>
      <c r="C10" s="12" t="n">
        <v>5</v>
      </c>
      <c r="D10" s="12" t="n">
        <v>5</v>
      </c>
      <c r="E10" s="16" t="n">
        <v>9</v>
      </c>
      <c r="F10" s="12" t="n">
        <v>7</v>
      </c>
      <c r="G10" s="13"/>
      <c r="H10" s="14" t="s">
        <v>422</v>
      </c>
    </row>
    <row r="11" customFormat="false" ht="15" hidden="false" customHeight="true" outlineLevel="0" collapsed="false">
      <c r="A11" s="9"/>
      <c r="B11" s="9" t="s">
        <v>423</v>
      </c>
      <c r="C11" s="9"/>
      <c r="D11" s="9"/>
      <c r="E11" s="9"/>
      <c r="F11" s="9"/>
      <c r="G11" s="9"/>
      <c r="H11" s="9"/>
    </row>
    <row r="12" customFormat="false" ht="15" hidden="false" customHeight="true" outlineLevel="0" collapsed="false">
      <c r="A12" s="10" t="n">
        <v>16</v>
      </c>
      <c r="B12" s="11" t="s">
        <v>424</v>
      </c>
      <c r="C12" s="12" t="n">
        <v>5</v>
      </c>
      <c r="D12" s="12" t="n">
        <v>5</v>
      </c>
      <c r="E12" s="12" t="n">
        <v>5</v>
      </c>
      <c r="F12" s="12" t="n">
        <v>5</v>
      </c>
      <c r="G12" s="13"/>
      <c r="H12" s="14" t="s">
        <v>425</v>
      </c>
    </row>
    <row r="13" customFormat="false" ht="15" hidden="false" customHeight="true" outlineLevel="0" collapsed="false">
      <c r="A13" s="10" t="n">
        <v>18</v>
      </c>
      <c r="B13" s="11" t="s">
        <v>426</v>
      </c>
      <c r="C13" s="12" t="n">
        <v>5</v>
      </c>
      <c r="D13" s="12" t="n">
        <v>7</v>
      </c>
      <c r="E13" s="12" t="n">
        <v>5</v>
      </c>
      <c r="F13" s="12" t="n">
        <v>7</v>
      </c>
      <c r="G13" s="13"/>
      <c r="H13" s="14" t="s">
        <v>427</v>
      </c>
    </row>
    <row r="14" customFormat="false" ht="21.75" hidden="false" customHeight="true" outlineLevel="0" collapsed="false">
      <c r="A14" s="10" t="n">
        <v>23</v>
      </c>
      <c r="B14" s="11" t="s">
        <v>428</v>
      </c>
      <c r="C14" s="15" t="n">
        <v>3</v>
      </c>
      <c r="D14" s="12" t="n">
        <v>6</v>
      </c>
      <c r="E14" s="12" t="n">
        <v>8</v>
      </c>
      <c r="F14" s="12" t="n">
        <v>8</v>
      </c>
      <c r="G14" s="13"/>
      <c r="H14" s="14" t="s">
        <v>429</v>
      </c>
    </row>
    <row r="15" customFormat="false" ht="15" hidden="false" customHeight="true" outlineLevel="0" collapsed="false">
      <c r="A15" s="9"/>
      <c r="B15" s="9" t="s">
        <v>430</v>
      </c>
      <c r="C15" s="9"/>
      <c r="D15" s="9"/>
      <c r="E15" s="9"/>
      <c r="F15" s="9"/>
      <c r="G15" s="9"/>
      <c r="H15" s="9"/>
    </row>
    <row r="16" customFormat="false" ht="21.75" hidden="false" customHeight="true" outlineLevel="0" collapsed="false">
      <c r="A16" s="10" t="n">
        <v>24</v>
      </c>
      <c r="B16" s="11" t="s">
        <v>142</v>
      </c>
      <c r="C16" s="15" t="n">
        <v>2</v>
      </c>
      <c r="D16" s="12" t="n">
        <v>8</v>
      </c>
      <c r="E16" s="12" t="n">
        <v>3</v>
      </c>
      <c r="F16" s="16" t="n">
        <v>9</v>
      </c>
      <c r="G16" s="13"/>
      <c r="H16" s="14" t="s">
        <v>431</v>
      </c>
    </row>
    <row r="17" customFormat="false" ht="21.75" hidden="false" customHeight="true" outlineLevel="0" collapsed="false">
      <c r="A17" s="10" t="n">
        <v>32</v>
      </c>
      <c r="B17" s="11" t="s">
        <v>432</v>
      </c>
      <c r="C17" s="15" t="n">
        <v>2</v>
      </c>
      <c r="D17" s="12" t="n">
        <v>6</v>
      </c>
      <c r="E17" s="12" t="n">
        <v>4</v>
      </c>
      <c r="F17" s="16" t="n">
        <v>9</v>
      </c>
      <c r="G17" s="13"/>
      <c r="H17" s="14" t="s">
        <v>433</v>
      </c>
    </row>
    <row r="18" customFormat="false" ht="15" hidden="false" customHeight="true" outlineLevel="0" collapsed="false">
      <c r="A18" s="9"/>
      <c r="B18" s="9" t="s">
        <v>434</v>
      </c>
      <c r="C18" s="9"/>
      <c r="D18" s="9"/>
      <c r="E18" s="9"/>
      <c r="F18" s="9"/>
      <c r="G18" s="9"/>
      <c r="H18" s="9"/>
    </row>
    <row r="19" customFormat="false" ht="15" hidden="false" customHeight="true" outlineLevel="0" collapsed="false">
      <c r="A19" s="10" t="n">
        <v>33</v>
      </c>
      <c r="B19" s="11" t="s">
        <v>175</v>
      </c>
      <c r="C19" s="12" t="n">
        <v>5</v>
      </c>
      <c r="D19" s="15" t="n">
        <v>3</v>
      </c>
      <c r="E19" s="16" t="n">
        <v>7</v>
      </c>
      <c r="F19" s="12" t="n">
        <v>5</v>
      </c>
      <c r="G19" s="13"/>
      <c r="H19" s="14" t="s">
        <v>435</v>
      </c>
    </row>
    <row r="20" customFormat="false" ht="21.75" hidden="false" customHeight="true" outlineLevel="0" collapsed="false">
      <c r="A20" s="10" t="n">
        <v>34</v>
      </c>
      <c r="B20" s="11" t="s">
        <v>436</v>
      </c>
      <c r="C20" s="12" t="n">
        <v>6</v>
      </c>
      <c r="D20" s="15" t="n">
        <v>3</v>
      </c>
      <c r="E20" s="12" t="n">
        <v>6</v>
      </c>
      <c r="F20" s="12" t="n">
        <v>4</v>
      </c>
      <c r="G20" s="13"/>
      <c r="H20" s="14" t="s">
        <v>437</v>
      </c>
    </row>
    <row r="21" customFormat="false" ht="15" hidden="false" customHeight="true" outlineLevel="0" collapsed="false">
      <c r="A21" s="10" t="n">
        <v>35</v>
      </c>
      <c r="B21" s="11" t="s">
        <v>438</v>
      </c>
      <c r="C21" s="16" t="n">
        <v>7</v>
      </c>
      <c r="D21" s="12" t="n">
        <v>4</v>
      </c>
      <c r="E21" s="12" t="n">
        <v>5</v>
      </c>
      <c r="F21" s="15" t="n">
        <v>3</v>
      </c>
      <c r="G21" s="13"/>
      <c r="H21" s="14" t="s">
        <v>439</v>
      </c>
    </row>
    <row r="22" customFormat="false" ht="15" hidden="false" customHeight="true" outlineLevel="0" collapsed="false">
      <c r="A22" s="10" t="n">
        <v>38</v>
      </c>
      <c r="B22" s="11" t="s">
        <v>203</v>
      </c>
      <c r="C22" s="12" t="n">
        <v>5</v>
      </c>
      <c r="D22" s="12" t="n">
        <v>5</v>
      </c>
      <c r="E22" s="16" t="n">
        <v>6</v>
      </c>
      <c r="F22" s="15" t="n">
        <v>4</v>
      </c>
      <c r="G22" s="13"/>
      <c r="H22" s="14" t="s">
        <v>440</v>
      </c>
    </row>
    <row r="23" customFormat="false" ht="15" hidden="false" customHeight="true" outlineLevel="0" collapsed="false">
      <c r="A23" s="10" t="n">
        <v>40</v>
      </c>
      <c r="B23" s="11" t="s">
        <v>441</v>
      </c>
      <c r="C23" s="15" t="n">
        <v>2</v>
      </c>
      <c r="D23" s="12" t="n">
        <v>6</v>
      </c>
      <c r="E23" s="12" t="n">
        <v>4</v>
      </c>
      <c r="F23" s="16" t="n">
        <v>9</v>
      </c>
      <c r="G23" s="13"/>
      <c r="H23" s="14" t="s">
        <v>442</v>
      </c>
    </row>
    <row r="24" customFormat="false" ht="15" hidden="false" customHeight="true" outlineLevel="0" collapsed="false">
      <c r="A24" s="9"/>
      <c r="B24" s="9" t="s">
        <v>443</v>
      </c>
      <c r="C24" s="9"/>
      <c r="D24" s="9"/>
      <c r="E24" s="9"/>
      <c r="F24" s="9"/>
      <c r="G24" s="9"/>
      <c r="H24" s="9"/>
    </row>
    <row r="25" customFormat="false" ht="15" hidden="false" customHeight="true" outlineLevel="0" collapsed="false">
      <c r="A25" s="10" t="n">
        <v>41</v>
      </c>
      <c r="B25" s="11" t="s">
        <v>444</v>
      </c>
      <c r="C25" s="16" t="n">
        <v>10</v>
      </c>
      <c r="D25" s="12" t="n">
        <v>6</v>
      </c>
      <c r="E25" s="12" t="n">
        <v>7</v>
      </c>
      <c r="F25" s="15" t="n">
        <v>3</v>
      </c>
      <c r="G25" s="13"/>
      <c r="H25" s="14" t="s">
        <v>445</v>
      </c>
    </row>
    <row r="26" customFormat="false" ht="15" hidden="false" customHeight="true" outlineLevel="0" collapsed="false">
      <c r="A26" s="10" t="n">
        <v>42</v>
      </c>
      <c r="B26" s="11" t="s">
        <v>227</v>
      </c>
      <c r="C26" s="16" t="n">
        <v>9</v>
      </c>
      <c r="D26" s="12" t="n">
        <v>8</v>
      </c>
      <c r="E26" s="12" t="n">
        <v>6</v>
      </c>
      <c r="F26" s="15" t="n">
        <v>4</v>
      </c>
      <c r="G26" s="13"/>
      <c r="H26" s="14" t="s">
        <v>446</v>
      </c>
    </row>
    <row r="27" customFormat="false" ht="15" hidden="false" customHeight="true" outlineLevel="0" collapsed="false">
      <c r="A27" s="10" t="n">
        <v>43</v>
      </c>
      <c r="B27" s="11" t="s">
        <v>447</v>
      </c>
      <c r="C27" s="12" t="n">
        <v>10</v>
      </c>
      <c r="D27" s="12" t="n">
        <v>10</v>
      </c>
      <c r="E27" s="12" t="n">
        <v>10</v>
      </c>
      <c r="F27" s="12" t="n">
        <v>10</v>
      </c>
      <c r="G27" s="13"/>
      <c r="H27" s="14" t="s">
        <v>238</v>
      </c>
    </row>
    <row r="28" customFormat="false" ht="15" hidden="false" customHeight="true" outlineLevel="0" collapsed="false">
      <c r="A28" s="10" t="n">
        <v>44</v>
      </c>
      <c r="B28" s="11" t="s">
        <v>448</v>
      </c>
      <c r="C28" s="16" t="n">
        <v>10</v>
      </c>
      <c r="D28" s="12" t="n">
        <v>4</v>
      </c>
      <c r="E28" s="12" t="n">
        <v>7</v>
      </c>
      <c r="F28" s="15" t="n">
        <v>2</v>
      </c>
      <c r="G28" s="13"/>
      <c r="H28" s="14" t="s">
        <v>449</v>
      </c>
    </row>
    <row r="29" customFormat="false" ht="21.75" hidden="false" customHeight="true" outlineLevel="0" collapsed="false">
      <c r="A29" s="10" t="n">
        <v>45</v>
      </c>
      <c r="B29" s="11" t="s">
        <v>450</v>
      </c>
      <c r="C29" s="12" t="n">
        <v>5</v>
      </c>
      <c r="D29" s="12" t="n">
        <v>5</v>
      </c>
      <c r="E29" s="12" t="n">
        <v>7</v>
      </c>
      <c r="F29" s="16" t="n">
        <v>8</v>
      </c>
      <c r="G29" s="13"/>
      <c r="H29" s="14" t="s">
        <v>451</v>
      </c>
    </row>
    <row r="30" customFormat="false" ht="15" hidden="false" customHeight="true" outlineLevel="0" collapsed="false">
      <c r="A30" s="10" t="n">
        <v>46</v>
      </c>
      <c r="B30" s="11" t="s">
        <v>452</v>
      </c>
      <c r="C30" s="16" t="n">
        <v>8</v>
      </c>
      <c r="D30" s="12" t="n">
        <v>6</v>
      </c>
      <c r="E30" s="12" t="n">
        <v>3</v>
      </c>
      <c r="F30" s="12" t="n">
        <v>3</v>
      </c>
      <c r="G30" s="13"/>
      <c r="H30" s="14" t="s">
        <v>453</v>
      </c>
    </row>
    <row r="31" customFormat="false" ht="15" hidden="false" customHeight="true" outlineLevel="0" collapsed="false">
      <c r="A31" s="9"/>
      <c r="B31" s="9" t="s">
        <v>454</v>
      </c>
      <c r="C31" s="9"/>
      <c r="D31" s="9"/>
      <c r="E31" s="9"/>
      <c r="F31" s="9"/>
      <c r="G31" s="9"/>
      <c r="H31" s="9"/>
    </row>
    <row r="32" customFormat="false" ht="15" hidden="false" customHeight="true" outlineLevel="0" collapsed="false">
      <c r="A32" s="10" t="n">
        <v>52</v>
      </c>
      <c r="B32" s="11" t="s">
        <v>455</v>
      </c>
      <c r="C32" s="15" t="n">
        <v>4</v>
      </c>
      <c r="D32" s="16" t="n">
        <v>7</v>
      </c>
      <c r="E32" s="12" t="n">
        <v>6</v>
      </c>
      <c r="F32" s="12" t="n">
        <v>5</v>
      </c>
      <c r="G32" s="13"/>
      <c r="H32" s="14" t="s">
        <v>456</v>
      </c>
    </row>
    <row r="33" customFormat="false" ht="15" hidden="false" customHeight="true" outlineLevel="0" collapsed="false">
      <c r="A33" s="10" t="n">
        <v>53</v>
      </c>
      <c r="B33" s="11" t="s">
        <v>268</v>
      </c>
      <c r="C33" s="12" t="n">
        <v>4</v>
      </c>
      <c r="D33" s="16" t="n">
        <v>6</v>
      </c>
      <c r="E33" s="12" t="n">
        <v>3</v>
      </c>
      <c r="F33" s="12" t="n">
        <v>3</v>
      </c>
      <c r="G33" s="13"/>
      <c r="H33" s="14" t="s">
        <v>457</v>
      </c>
    </row>
    <row r="34" customFormat="false" ht="15" hidden="false" customHeight="true" outlineLevel="0" collapsed="false">
      <c r="A34" s="9"/>
      <c r="B34" s="9" t="s">
        <v>458</v>
      </c>
      <c r="C34" s="9"/>
      <c r="D34" s="9"/>
      <c r="E34" s="9"/>
      <c r="F34" s="9"/>
      <c r="G34" s="9"/>
      <c r="H34" s="9"/>
    </row>
    <row r="35" customFormat="false" ht="21.75" hidden="false" customHeight="true" outlineLevel="0" collapsed="false">
      <c r="A35" s="10" t="n">
        <v>71</v>
      </c>
      <c r="B35" s="11" t="s">
        <v>459</v>
      </c>
      <c r="C35" s="16" t="n">
        <v>8</v>
      </c>
      <c r="D35" s="12" t="n">
        <v>7</v>
      </c>
      <c r="E35" s="12" t="n">
        <v>6</v>
      </c>
      <c r="F35" s="15" t="n">
        <v>5</v>
      </c>
      <c r="G35" s="13"/>
      <c r="H35" s="14" t="s">
        <v>460</v>
      </c>
    </row>
    <row r="36" customFormat="false" ht="15" hidden="false" customHeight="true" outlineLevel="0" collapsed="false">
      <c r="A36" s="10" t="n">
        <v>72</v>
      </c>
      <c r="B36" s="11" t="s">
        <v>461</v>
      </c>
      <c r="C36" s="16" t="n">
        <v>9</v>
      </c>
      <c r="D36" s="12" t="n">
        <v>7</v>
      </c>
      <c r="E36" s="12" t="n">
        <v>7</v>
      </c>
      <c r="F36" s="15" t="n">
        <v>5</v>
      </c>
      <c r="G36" s="13"/>
      <c r="H36" s="14" t="s">
        <v>462</v>
      </c>
    </row>
    <row r="37" customFormat="false" ht="15" hidden="false" customHeight="true" outlineLevel="0" collapsed="false">
      <c r="A37" s="10" t="n">
        <v>74</v>
      </c>
      <c r="B37" s="11" t="s">
        <v>293</v>
      </c>
      <c r="C37" s="16" t="n">
        <v>9</v>
      </c>
      <c r="D37" s="12" t="n">
        <v>7</v>
      </c>
      <c r="E37" s="12" t="n">
        <v>8</v>
      </c>
      <c r="F37" s="12" t="n">
        <v>7</v>
      </c>
      <c r="G37" s="13"/>
      <c r="H37" s="14" t="s">
        <v>463</v>
      </c>
    </row>
    <row r="38" customFormat="false" ht="15" hidden="false" customHeight="true" outlineLevel="0" collapsed="false">
      <c r="A38" s="10" t="n">
        <v>75</v>
      </c>
      <c r="B38" s="11" t="s">
        <v>299</v>
      </c>
      <c r="C38" s="12" t="n">
        <v>6</v>
      </c>
      <c r="D38" s="16" t="n">
        <v>7</v>
      </c>
      <c r="E38" s="12" t="n">
        <v>5</v>
      </c>
      <c r="F38" s="15" t="n">
        <v>4</v>
      </c>
      <c r="G38" s="13"/>
      <c r="H38" s="14" t="s">
        <v>464</v>
      </c>
    </row>
    <row r="39" customFormat="false" ht="15" hidden="false" customHeight="true" outlineLevel="0" collapsed="false">
      <c r="A39" s="9"/>
      <c r="B39" s="9" t="s">
        <v>465</v>
      </c>
      <c r="C39" s="9"/>
      <c r="D39" s="9"/>
      <c r="E39" s="9"/>
      <c r="F39" s="9"/>
      <c r="G39" s="9"/>
      <c r="H39" s="9"/>
    </row>
    <row r="40" customFormat="false" ht="15" hidden="false" customHeight="true" outlineLevel="0" collapsed="false">
      <c r="A40" s="10" t="n">
        <v>77</v>
      </c>
      <c r="B40" s="11" t="s">
        <v>466</v>
      </c>
      <c r="C40" s="12" t="n">
        <v>6</v>
      </c>
      <c r="D40" s="12" t="n">
        <v>8</v>
      </c>
      <c r="E40" s="12" t="n">
        <v>8</v>
      </c>
      <c r="F40" s="15" t="n">
        <v>4</v>
      </c>
      <c r="G40" s="13"/>
      <c r="H40" s="14" t="s">
        <v>467</v>
      </c>
    </row>
    <row r="41" customFormat="false" ht="15" hidden="false" customHeight="true" outlineLevel="0" collapsed="false">
      <c r="A41" s="10" t="n">
        <v>79</v>
      </c>
      <c r="B41" s="11" t="s">
        <v>468</v>
      </c>
      <c r="C41" s="12" t="n">
        <v>7</v>
      </c>
      <c r="D41" s="12" t="n">
        <v>8</v>
      </c>
      <c r="E41" s="12" t="n">
        <v>8</v>
      </c>
      <c r="F41" s="15" t="n">
        <v>4</v>
      </c>
      <c r="G41" s="13"/>
      <c r="H41" s="14" t="s">
        <v>469</v>
      </c>
    </row>
    <row r="42" customFormat="false" ht="15" hidden="false" customHeight="true" outlineLevel="0" collapsed="false">
      <c r="A42" s="10" t="n">
        <v>80</v>
      </c>
      <c r="B42" s="11" t="s">
        <v>470</v>
      </c>
      <c r="C42" s="12" t="n">
        <v>7</v>
      </c>
      <c r="D42" s="12" t="n">
        <v>8</v>
      </c>
      <c r="E42" s="12" t="n">
        <v>8</v>
      </c>
      <c r="F42" s="15" t="n">
        <v>4</v>
      </c>
      <c r="G42" s="13"/>
      <c r="H42" s="14" t="s">
        <v>471</v>
      </c>
    </row>
    <row r="43" customFormat="false" ht="15" hidden="false" customHeight="true" outlineLevel="0" collapsed="false">
      <c r="A43" s="9"/>
      <c r="B43" s="9" t="s">
        <v>472</v>
      </c>
      <c r="C43" s="9"/>
      <c r="D43" s="9"/>
      <c r="E43" s="9"/>
      <c r="F43" s="9"/>
      <c r="G43" s="9"/>
      <c r="H43" s="9"/>
    </row>
    <row r="44" customFormat="false" ht="15" hidden="false" customHeight="true" outlineLevel="0" collapsed="false">
      <c r="A44" s="10" t="n">
        <v>91</v>
      </c>
      <c r="B44" s="11" t="s">
        <v>345</v>
      </c>
      <c r="C44" s="16" t="n">
        <v>9</v>
      </c>
      <c r="D44" s="12" t="n">
        <v>6</v>
      </c>
      <c r="E44" s="15" t="n">
        <v>3</v>
      </c>
      <c r="F44" s="12" t="n">
        <v>5</v>
      </c>
      <c r="G44" s="13"/>
      <c r="H44" s="14" t="s">
        <v>473</v>
      </c>
    </row>
    <row r="45" customFormat="false" ht="15" hidden="false" customHeight="true" outlineLevel="0" collapsed="false">
      <c r="A45" s="9"/>
      <c r="B45" s="9" t="s">
        <v>474</v>
      </c>
      <c r="C45" s="9"/>
      <c r="D45" s="9"/>
      <c r="E45" s="9"/>
      <c r="F45" s="9"/>
      <c r="G45" s="9"/>
      <c r="H45" s="9"/>
    </row>
    <row r="46" customFormat="false" ht="15" hidden="false" customHeight="true" outlineLevel="0" collapsed="false">
      <c r="A46" s="10" t="n">
        <v>95</v>
      </c>
      <c r="B46" s="11" t="s">
        <v>475</v>
      </c>
      <c r="C46" s="15" t="n">
        <v>4</v>
      </c>
      <c r="D46" s="12" t="n">
        <v>5</v>
      </c>
      <c r="E46" s="12" t="n">
        <v>5</v>
      </c>
      <c r="F46" s="16" t="n">
        <v>6</v>
      </c>
      <c r="G46" s="13"/>
      <c r="H46" s="14" t="s">
        <v>476</v>
      </c>
    </row>
    <row r="47" customFormat="false" ht="15" hidden="false" customHeight="true" outlineLevel="0" collapsed="false">
      <c r="A47" s="10" t="n">
        <v>96</v>
      </c>
      <c r="B47" s="11" t="s">
        <v>477</v>
      </c>
      <c r="C47" s="15" t="n">
        <v>4</v>
      </c>
      <c r="D47" s="12" t="n">
        <v>6</v>
      </c>
      <c r="E47" s="12" t="n">
        <v>6</v>
      </c>
      <c r="F47" s="16" t="n">
        <v>7</v>
      </c>
      <c r="G47" s="13"/>
      <c r="H47" s="14" t="s">
        <v>478</v>
      </c>
    </row>
    <row r="48" customFormat="false" ht="15" hidden="false" customHeight="true" outlineLevel="0" collapsed="false">
      <c r="A48" s="10" t="n">
        <v>98</v>
      </c>
      <c r="B48" s="11" t="s">
        <v>479</v>
      </c>
      <c r="C48" s="15" t="n">
        <v>5</v>
      </c>
      <c r="D48" s="12" t="n">
        <v>6</v>
      </c>
      <c r="E48" s="12" t="n">
        <v>6</v>
      </c>
      <c r="F48" s="16" t="n">
        <v>7</v>
      </c>
      <c r="G48" s="13"/>
      <c r="H48" s="14" t="s">
        <v>480</v>
      </c>
    </row>
    <row r="49" customFormat="false" ht="15" hidden="false" customHeight="true" outlineLevel="0" collapsed="false">
      <c r="A49" s="10" t="n">
        <v>100</v>
      </c>
      <c r="B49" s="11" t="s">
        <v>481</v>
      </c>
      <c r="C49" s="12" t="n">
        <v>5</v>
      </c>
      <c r="D49" s="12" t="n">
        <v>5</v>
      </c>
      <c r="E49" s="16" t="n">
        <v>9</v>
      </c>
      <c r="F49" s="12" t="n">
        <v>7</v>
      </c>
      <c r="G49" s="13"/>
      <c r="H49" s="14" t="s">
        <v>482</v>
      </c>
    </row>
    <row r="50" customFormat="false" ht="15" hidden="false" customHeight="true" outlineLevel="0" collapsed="false">
      <c r="A50" s="9"/>
      <c r="B50" s="9" t="s">
        <v>483</v>
      </c>
      <c r="C50" s="9"/>
      <c r="D50" s="9"/>
      <c r="E50" s="9"/>
      <c r="F50" s="9"/>
      <c r="G50" s="9"/>
      <c r="H50" s="9"/>
    </row>
    <row r="51" customFormat="false" ht="15" hidden="false" customHeight="true" outlineLevel="0" collapsed="false">
      <c r="A51" s="10" t="n">
        <v>104</v>
      </c>
      <c r="B51" s="11" t="s">
        <v>394</v>
      </c>
      <c r="C51" s="15" t="n">
        <v>3</v>
      </c>
      <c r="D51" s="12" t="n">
        <v>5</v>
      </c>
      <c r="E51" s="12" t="n">
        <v>5</v>
      </c>
      <c r="F51" s="16" t="n">
        <v>6</v>
      </c>
      <c r="G51" s="13"/>
      <c r="H51" s="14" t="s">
        <v>484</v>
      </c>
    </row>
    <row r="52" customFormat="false" ht="15" hidden="false" customHeight="true" outlineLevel="0" collapsed="false">
      <c r="A52" s="9"/>
      <c r="B52" s="9" t="s">
        <v>485</v>
      </c>
      <c r="C52" s="9"/>
      <c r="D52" s="9"/>
      <c r="E52" s="9"/>
      <c r="F52" s="9"/>
      <c r="G52" s="9"/>
      <c r="H52" s="9"/>
    </row>
    <row r="53" customFormat="false" ht="21.75" hidden="false" customHeight="true" outlineLevel="0" collapsed="false">
      <c r="A53" s="13"/>
      <c r="B53" s="17" t="s">
        <v>486</v>
      </c>
      <c r="C53" s="12" t="n">
        <v>6</v>
      </c>
      <c r="D53" s="12" t="n">
        <v>7</v>
      </c>
      <c r="E53" s="12" t="n">
        <v>6</v>
      </c>
      <c r="F53" s="12" t="n">
        <v>7</v>
      </c>
      <c r="G53" s="13"/>
      <c r="H53" s="14" t="s">
        <v>487</v>
      </c>
    </row>
    <row r="54" customFormat="false" ht="15" hidden="false" customHeight="true" outlineLevel="0" collapsed="false">
      <c r="A54" s="9"/>
      <c r="B54" s="9" t="s">
        <v>488</v>
      </c>
      <c r="C54" s="9"/>
      <c r="D54" s="9"/>
      <c r="E54" s="9"/>
      <c r="F54" s="9"/>
      <c r="G54" s="9"/>
      <c r="H54" s="9"/>
    </row>
    <row r="55" customFormat="false" ht="21.75" hidden="false" customHeight="true" outlineLevel="0" collapsed="false">
      <c r="A55" s="13"/>
      <c r="B55" s="17" t="s">
        <v>486</v>
      </c>
      <c r="C55" s="12" t="n">
        <v>4</v>
      </c>
      <c r="D55" s="12" t="n">
        <v>7</v>
      </c>
      <c r="E55" s="12" t="n">
        <v>7</v>
      </c>
      <c r="F55" s="12" t="n">
        <v>8</v>
      </c>
      <c r="G55" s="13"/>
      <c r="H55" s="14" t="s">
        <v>489</v>
      </c>
    </row>
    <row r="58" customFormat="false" ht="17.25" hidden="false" customHeight="true" outlineLevel="0" collapsed="false">
      <c r="B58" s="7" t="s">
        <v>490</v>
      </c>
    </row>
    <row r="59" customFormat="false" ht="26.25" hidden="false" customHeight="true" outlineLevel="0" collapsed="false">
      <c r="A59" s="8" t="s">
        <v>491</v>
      </c>
      <c r="B59" s="8" t="s">
        <v>492</v>
      </c>
      <c r="C59" s="8" t="s">
        <v>4</v>
      </c>
      <c r="D59" s="8" t="s">
        <v>5</v>
      </c>
      <c r="E59" s="8" t="s">
        <v>6</v>
      </c>
      <c r="F59" s="8" t="s">
        <v>7</v>
      </c>
      <c r="G59" s="8"/>
      <c r="H59" s="8" t="s">
        <v>493</v>
      </c>
    </row>
    <row r="60" customFormat="false" ht="15" hidden="false" customHeight="true" outlineLevel="0" collapsed="false">
      <c r="A60" s="18" t="n">
        <v>1</v>
      </c>
      <c r="B60" s="19" t="s">
        <v>494</v>
      </c>
      <c r="C60" s="20" t="n">
        <v>3.25</v>
      </c>
      <c r="D60" s="21" t="n">
        <v>4.75</v>
      </c>
      <c r="E60" s="22" t="n">
        <v>7.25</v>
      </c>
      <c r="F60" s="21" t="n">
        <v>6</v>
      </c>
      <c r="G60" s="13"/>
      <c r="H60" s="23" t="s">
        <v>495</v>
      </c>
    </row>
    <row r="61" customFormat="false" ht="15" hidden="false" customHeight="true" outlineLevel="0" collapsed="false">
      <c r="A61" s="18" t="n">
        <v>2</v>
      </c>
      <c r="B61" s="19" t="s">
        <v>496</v>
      </c>
      <c r="C61" s="20" t="n">
        <v>4</v>
      </c>
      <c r="D61" s="21" t="n">
        <v>5</v>
      </c>
      <c r="E61" s="22" t="n">
        <v>9</v>
      </c>
      <c r="F61" s="21" t="n">
        <v>7</v>
      </c>
      <c r="G61" s="13"/>
      <c r="H61" s="23" t="s">
        <v>497</v>
      </c>
    </row>
    <row r="62" customFormat="false" ht="15" hidden="false" customHeight="true" outlineLevel="0" collapsed="false">
      <c r="A62" s="18" t="n">
        <v>3</v>
      </c>
      <c r="B62" s="19" t="s">
        <v>498</v>
      </c>
      <c r="C62" s="20" t="n">
        <v>4.33</v>
      </c>
      <c r="D62" s="21" t="n">
        <v>6</v>
      </c>
      <c r="E62" s="21" t="n">
        <v>6</v>
      </c>
      <c r="F62" s="22" t="n">
        <v>6.67</v>
      </c>
      <c r="G62" s="13"/>
      <c r="H62" s="23" t="s">
        <v>499</v>
      </c>
    </row>
    <row r="63" customFormat="false" ht="15" hidden="false" customHeight="true" outlineLevel="0" collapsed="false">
      <c r="A63" s="18" t="n">
        <v>4</v>
      </c>
      <c r="B63" s="19" t="s">
        <v>500</v>
      </c>
      <c r="C63" s="20" t="n">
        <v>2</v>
      </c>
      <c r="D63" s="21" t="n">
        <v>7</v>
      </c>
      <c r="E63" s="21" t="n">
        <v>3.5</v>
      </c>
      <c r="F63" s="22" t="n">
        <v>9</v>
      </c>
      <c r="G63" s="13"/>
      <c r="H63" s="23" t="s">
        <v>497</v>
      </c>
    </row>
    <row r="64" customFormat="false" ht="15" hidden="false" customHeight="true" outlineLevel="0" collapsed="false">
      <c r="A64" s="18" t="n">
        <v>5</v>
      </c>
      <c r="B64" s="19" t="s">
        <v>501</v>
      </c>
      <c r="C64" s="21" t="n">
        <v>5</v>
      </c>
      <c r="D64" s="20" t="n">
        <v>4.2</v>
      </c>
      <c r="E64" s="22" t="n">
        <v>5.6</v>
      </c>
      <c r="F64" s="21" t="n">
        <v>5</v>
      </c>
      <c r="G64" s="13"/>
      <c r="H64" s="23" t="s">
        <v>502</v>
      </c>
    </row>
    <row r="65" customFormat="false" ht="15" hidden="false" customHeight="true" outlineLevel="0" collapsed="false">
      <c r="A65" s="18" t="n">
        <v>6</v>
      </c>
      <c r="B65" s="19" t="s">
        <v>503</v>
      </c>
      <c r="C65" s="22" t="n">
        <v>8.67</v>
      </c>
      <c r="D65" s="21" t="n">
        <v>6.5</v>
      </c>
      <c r="E65" s="21" t="n">
        <v>6.67</v>
      </c>
      <c r="F65" s="20" t="n">
        <v>5</v>
      </c>
      <c r="G65" s="13"/>
      <c r="H65" s="23" t="s">
        <v>504</v>
      </c>
    </row>
    <row r="66" customFormat="false" ht="15" hidden="false" customHeight="true" outlineLevel="0" collapsed="false">
      <c r="A66" s="18" t="n">
        <v>7</v>
      </c>
      <c r="B66" s="19" t="s">
        <v>505</v>
      </c>
      <c r="C66" s="21" t="n">
        <v>4</v>
      </c>
      <c r="D66" s="22" t="n">
        <v>6.5</v>
      </c>
      <c r="E66" s="21" t="n">
        <v>4.5</v>
      </c>
      <c r="F66" s="21" t="n">
        <v>4</v>
      </c>
      <c r="G66" s="13"/>
      <c r="H66" s="23" t="s">
        <v>497</v>
      </c>
    </row>
    <row r="67" customFormat="false" ht="15" hidden="false" customHeight="true" outlineLevel="0" collapsed="false">
      <c r="A67" s="18" t="n">
        <v>8</v>
      </c>
      <c r="B67" s="19" t="s">
        <v>506</v>
      </c>
      <c r="C67" s="21" t="n">
        <v>6</v>
      </c>
      <c r="D67" s="21" t="n">
        <v>7</v>
      </c>
      <c r="E67" s="21" t="n">
        <v>6</v>
      </c>
      <c r="F67" s="21" t="n">
        <v>7</v>
      </c>
      <c r="G67" s="13"/>
      <c r="H67" s="23" t="s">
        <v>507</v>
      </c>
    </row>
    <row r="68" customFormat="false" ht="15" hidden="false" customHeight="true" outlineLevel="0" collapsed="false">
      <c r="A68" s="18" t="n">
        <v>9</v>
      </c>
      <c r="B68" s="19" t="s">
        <v>508</v>
      </c>
      <c r="C68" s="20" t="n">
        <v>4</v>
      </c>
      <c r="D68" s="21" t="n">
        <v>7</v>
      </c>
      <c r="E68" s="21" t="n">
        <v>7</v>
      </c>
      <c r="F68" s="22" t="n">
        <v>8</v>
      </c>
      <c r="G68" s="13"/>
      <c r="H68" s="23" t="s">
        <v>507</v>
      </c>
    </row>
    <row r="69" customFormat="false" ht="15" hidden="false" customHeight="true" outlineLevel="0" collapsed="false">
      <c r="A69" s="18" t="n">
        <v>10</v>
      </c>
      <c r="B69" s="19" t="s">
        <v>509</v>
      </c>
      <c r="C69" s="22" t="n">
        <v>8</v>
      </c>
      <c r="D69" s="21" t="n">
        <v>7</v>
      </c>
      <c r="E69" s="21" t="n">
        <v>6.5</v>
      </c>
      <c r="F69" s="20" t="n">
        <v>5.25</v>
      </c>
      <c r="G69" s="13"/>
      <c r="H69" s="23" t="s">
        <v>495</v>
      </c>
    </row>
    <row r="70" customFormat="false" ht="15" hidden="false" customHeight="true" outlineLevel="0" collapsed="false">
      <c r="A70" s="18" t="n">
        <v>11</v>
      </c>
      <c r="B70" s="19" t="s">
        <v>510</v>
      </c>
      <c r="C70" s="21" t="n">
        <v>6.67</v>
      </c>
      <c r="D70" s="21" t="n">
        <v>8</v>
      </c>
      <c r="E70" s="21" t="n">
        <v>8</v>
      </c>
      <c r="F70" s="20" t="n">
        <v>4</v>
      </c>
      <c r="G70" s="13"/>
      <c r="H70" s="23" t="s">
        <v>499</v>
      </c>
    </row>
    <row r="71" customFormat="false" ht="15" hidden="false" customHeight="true" outlineLevel="0" collapsed="false">
      <c r="A71" s="18" t="n">
        <v>12</v>
      </c>
      <c r="B71" s="19" t="s">
        <v>511</v>
      </c>
      <c r="C71" s="22" t="n">
        <v>9</v>
      </c>
      <c r="D71" s="21" t="n">
        <v>6</v>
      </c>
      <c r="E71" s="20" t="n">
        <v>3</v>
      </c>
      <c r="F71" s="21" t="n">
        <v>5</v>
      </c>
      <c r="G71" s="13"/>
      <c r="H71" s="23" t="s">
        <v>512</v>
      </c>
    </row>
    <row r="72" customFormat="false" ht="15" hidden="false" customHeight="true" outlineLevel="0" collapsed="false">
      <c r="A72" s="18" t="n">
        <v>13</v>
      </c>
      <c r="B72" s="19" t="s">
        <v>513</v>
      </c>
      <c r="C72" s="20" t="n">
        <v>4.5</v>
      </c>
      <c r="D72" s="21" t="n">
        <v>5.5</v>
      </c>
      <c r="E72" s="21" t="n">
        <v>6.5</v>
      </c>
      <c r="F72" s="22" t="n">
        <v>6.75</v>
      </c>
      <c r="G72" s="13"/>
      <c r="H72" s="23" t="s">
        <v>495</v>
      </c>
    </row>
    <row r="73" customFormat="false" ht="15" hidden="false" customHeight="true" outlineLevel="0" collapsed="false">
      <c r="A73" s="18" t="n">
        <v>14</v>
      </c>
      <c r="B73" s="19" t="s">
        <v>514</v>
      </c>
      <c r="C73" s="20" t="n">
        <v>3</v>
      </c>
      <c r="D73" s="21" t="n">
        <v>5</v>
      </c>
      <c r="E73" s="21" t="n">
        <v>5</v>
      </c>
      <c r="F73" s="22" t="n">
        <v>6</v>
      </c>
      <c r="G73" s="13"/>
      <c r="H73" s="23" t="s">
        <v>512</v>
      </c>
    </row>
    <row r="74" customFormat="false" ht="15" hidden="false" customHeight="true" outlineLevel="0" collapsed="false">
      <c r="A74" s="24"/>
      <c r="B74" s="25" t="s">
        <v>515</v>
      </c>
      <c r="C74" s="26" t="n">
        <v>5.17</v>
      </c>
      <c r="D74" s="26" t="n">
        <v>6.1</v>
      </c>
      <c r="E74" s="26" t="n">
        <v>6.04</v>
      </c>
      <c r="F74" s="26" t="n">
        <v>6.05</v>
      </c>
      <c r="G74" s="24"/>
      <c r="H74" s="24"/>
    </row>
    <row r="77" customFormat="false" ht="17.25" hidden="false" customHeight="true" outlineLevel="0" collapsed="false">
      <c r="B77" s="7" t="s">
        <v>516</v>
      </c>
    </row>
    <row r="78" customFormat="false" ht="15" hidden="false" customHeight="true" outlineLevel="0" collapsed="false">
      <c r="A78" s="8"/>
      <c r="B78" s="8" t="s">
        <v>517</v>
      </c>
      <c r="C78" s="8" t="s">
        <v>4</v>
      </c>
      <c r="D78" s="8" t="s">
        <v>5</v>
      </c>
      <c r="E78" s="8" t="s">
        <v>6</v>
      </c>
      <c r="F78" s="8" t="s">
        <v>7</v>
      </c>
      <c r="G78" s="8"/>
      <c r="H78" s="8" t="s">
        <v>518</v>
      </c>
    </row>
    <row r="79" customFormat="false" ht="15" hidden="false" customHeight="true" outlineLevel="0" collapsed="false">
      <c r="A79" s="13"/>
      <c r="B79" s="19" t="s">
        <v>519</v>
      </c>
      <c r="C79" s="27" t="n">
        <v>5.31</v>
      </c>
      <c r="D79" s="28" t="n">
        <v>6.33</v>
      </c>
      <c r="E79" s="27" t="n">
        <v>6.1</v>
      </c>
      <c r="F79" s="27" t="n">
        <v>6.15</v>
      </c>
      <c r="G79" s="13"/>
      <c r="H79" s="29" t="s">
        <v>520</v>
      </c>
    </row>
    <row r="80" customFormat="false" ht="15" hidden="false" customHeight="true" outlineLevel="0" collapsed="false">
      <c r="A80" s="13"/>
      <c r="B80" s="19" t="s">
        <v>521</v>
      </c>
      <c r="C80" s="27" t="n">
        <v>5.14</v>
      </c>
      <c r="D80" s="28" t="n">
        <v>6.09</v>
      </c>
      <c r="E80" s="27" t="n">
        <v>6.03</v>
      </c>
      <c r="F80" s="27" t="n">
        <v>6.05</v>
      </c>
      <c r="G80" s="13"/>
      <c r="H80" s="29" t="s">
        <v>520</v>
      </c>
    </row>
    <row r="81" customFormat="false" ht="15" hidden="false" customHeight="true" outlineLevel="0" collapsed="false">
      <c r="A81" s="13"/>
      <c r="B81" s="19" t="s">
        <v>522</v>
      </c>
      <c r="C81" s="27" t="n">
        <v>5.26</v>
      </c>
      <c r="D81" s="28" t="n">
        <v>6.03</v>
      </c>
      <c r="E81" s="27" t="n">
        <v>5.64</v>
      </c>
      <c r="F81" s="27" t="n">
        <v>5.38</v>
      </c>
      <c r="G81" s="13"/>
      <c r="H81" s="29" t="s">
        <v>520</v>
      </c>
    </row>
    <row r="82" customFormat="false" ht="15" hidden="false" customHeight="true" outlineLevel="0" collapsed="false">
      <c r="A82" s="13"/>
      <c r="B82" s="19" t="s">
        <v>523</v>
      </c>
      <c r="C82" s="27" t="n">
        <v>5.2</v>
      </c>
      <c r="D82" s="28" t="n">
        <v>6.33</v>
      </c>
      <c r="E82" s="27" t="n">
        <v>5.91</v>
      </c>
      <c r="F82" s="28" t="n">
        <v>6.33</v>
      </c>
      <c r="G82" s="13"/>
      <c r="H82" s="29" t="s">
        <v>520</v>
      </c>
    </row>
    <row r="83" customFormat="false" ht="15" hidden="false" customHeight="true" outlineLevel="0" collapsed="false">
      <c r="A83" s="13"/>
      <c r="B83" s="19" t="s">
        <v>524</v>
      </c>
      <c r="C83" s="27" t="n">
        <v>4.49</v>
      </c>
      <c r="D83" s="27" t="n">
        <v>5.84</v>
      </c>
      <c r="E83" s="27" t="n">
        <v>6.01</v>
      </c>
      <c r="F83" s="28" t="n">
        <v>6.42</v>
      </c>
      <c r="G83" s="13"/>
      <c r="H83" s="29" t="s">
        <v>525</v>
      </c>
    </row>
    <row r="84" customFormat="false" ht="15" hidden="false" customHeight="true" outlineLevel="0" collapsed="false">
      <c r="A84" s="13"/>
      <c r="B84" s="19" t="s">
        <v>526</v>
      </c>
      <c r="C84" s="27" t="n">
        <v>6.11</v>
      </c>
      <c r="D84" s="28" t="n">
        <v>6.31</v>
      </c>
      <c r="E84" s="27" t="n">
        <v>5.81</v>
      </c>
      <c r="F84" s="27" t="n">
        <v>5.97</v>
      </c>
      <c r="G84" s="13"/>
      <c r="H84" s="29" t="s">
        <v>520</v>
      </c>
    </row>
    <row r="87" customFormat="false" ht="17.25" hidden="false" customHeight="true" outlineLevel="0" collapsed="false">
      <c r="B87" s="7" t="s">
        <v>527</v>
      </c>
    </row>
    <row r="88" customFormat="false" ht="15" hidden="false" customHeight="true" outlineLevel="0" collapsed="false">
      <c r="A88" s="30"/>
      <c r="B88" s="30" t="s">
        <v>517</v>
      </c>
      <c r="C88" s="30" t="s">
        <v>528</v>
      </c>
      <c r="D88" s="30" t="s">
        <v>529</v>
      </c>
      <c r="E88" s="30" t="s">
        <v>530</v>
      </c>
      <c r="F88" s="30" t="s">
        <v>531</v>
      </c>
      <c r="G88" s="30"/>
      <c r="H88" s="30"/>
    </row>
    <row r="89" customFormat="false" ht="15" hidden="false" customHeight="true" outlineLevel="0" collapsed="false">
      <c r="A89" s="13"/>
      <c r="B89" s="19" t="s">
        <v>519</v>
      </c>
      <c r="C89" s="31" t="s">
        <v>532</v>
      </c>
      <c r="D89" s="32" t="s">
        <v>533</v>
      </c>
      <c r="E89" s="33" t="s">
        <v>534</v>
      </c>
      <c r="F89" s="34" t="s">
        <v>535</v>
      </c>
      <c r="G89" s="13"/>
      <c r="H89" s="13"/>
    </row>
    <row r="90" customFormat="false" ht="15" hidden="false" customHeight="true" outlineLevel="0" collapsed="false">
      <c r="A90" s="13"/>
      <c r="B90" s="19" t="s">
        <v>521</v>
      </c>
      <c r="C90" s="31" t="s">
        <v>536</v>
      </c>
      <c r="D90" s="32" t="s">
        <v>537</v>
      </c>
      <c r="E90" s="33" t="s">
        <v>538</v>
      </c>
      <c r="F90" s="34" t="s">
        <v>539</v>
      </c>
      <c r="G90" s="13"/>
      <c r="H90" s="13"/>
    </row>
    <row r="91" customFormat="false" ht="15" hidden="false" customHeight="true" outlineLevel="0" collapsed="false">
      <c r="A91" s="13"/>
      <c r="B91" s="19" t="s">
        <v>522</v>
      </c>
      <c r="C91" s="31" t="s">
        <v>540</v>
      </c>
      <c r="D91" s="32" t="s">
        <v>541</v>
      </c>
      <c r="E91" s="33" t="s">
        <v>542</v>
      </c>
      <c r="F91" s="34" t="s">
        <v>535</v>
      </c>
      <c r="G91" s="13"/>
      <c r="H91" s="13"/>
    </row>
    <row r="92" customFormat="false" ht="15" hidden="false" customHeight="true" outlineLevel="0" collapsed="false">
      <c r="A92" s="13"/>
      <c r="B92" s="19" t="s">
        <v>523</v>
      </c>
      <c r="C92" s="31" t="s">
        <v>532</v>
      </c>
      <c r="D92" s="32" t="s">
        <v>543</v>
      </c>
      <c r="E92" s="33" t="s">
        <v>544</v>
      </c>
      <c r="F92" s="34" t="s">
        <v>545</v>
      </c>
      <c r="G92" s="13"/>
      <c r="H92" s="13"/>
    </row>
    <row r="93" customFormat="false" ht="15" hidden="false" customHeight="true" outlineLevel="0" collapsed="false">
      <c r="A93" s="13"/>
      <c r="B93" s="19" t="s">
        <v>524</v>
      </c>
      <c r="C93" s="31" t="s">
        <v>546</v>
      </c>
      <c r="D93" s="32" t="s">
        <v>538</v>
      </c>
      <c r="E93" s="33" t="s">
        <v>547</v>
      </c>
      <c r="F93" s="34" t="s">
        <v>548</v>
      </c>
      <c r="G93" s="13"/>
      <c r="H93" s="13"/>
    </row>
    <row r="94" customFormat="false" ht="15" hidden="false" customHeight="true" outlineLevel="0" collapsed="false">
      <c r="A94" s="13"/>
      <c r="B94" s="19" t="s">
        <v>526</v>
      </c>
      <c r="C94" s="31" t="s">
        <v>532</v>
      </c>
      <c r="D94" s="32" t="s">
        <v>549</v>
      </c>
      <c r="E94" s="33" t="s">
        <v>537</v>
      </c>
      <c r="F94" s="34" t="s">
        <v>550</v>
      </c>
      <c r="G94" s="13"/>
      <c r="H94" s="13"/>
    </row>
    <row r="97" customFormat="false" ht="17.25" hidden="false" customHeight="true" outlineLevel="0" collapsed="false">
      <c r="B97" s="7" t="s">
        <v>551</v>
      </c>
    </row>
    <row r="98" customFormat="false" ht="15" hidden="false" customHeight="true" outlineLevel="0" collapsed="false">
      <c r="B98" s="35" t="s">
        <v>552</v>
      </c>
      <c r="C98" s="35"/>
      <c r="D98" s="35"/>
      <c r="E98" s="35"/>
      <c r="F98" s="35"/>
      <c r="G98" s="35"/>
      <c r="H98" s="35"/>
    </row>
    <row r="99" customFormat="false" ht="15" hidden="false" customHeight="true" outlineLevel="0" collapsed="false">
      <c r="B99" s="35" t="s">
        <v>553</v>
      </c>
      <c r="C99" s="35"/>
      <c r="D99" s="35"/>
      <c r="E99" s="35"/>
      <c r="F99" s="35"/>
      <c r="G99" s="35"/>
      <c r="H99" s="35"/>
    </row>
    <row r="100" customFormat="false" ht="15" hidden="false" customHeight="true" outlineLevel="0" collapsed="false">
      <c r="B100" s="35" t="s">
        <v>554</v>
      </c>
      <c r="C100" s="35"/>
      <c r="D100" s="35"/>
      <c r="E100" s="35"/>
      <c r="F100" s="35"/>
      <c r="G100" s="35"/>
      <c r="H100" s="35"/>
    </row>
    <row r="101" customFormat="false" ht="15" hidden="false" customHeight="true" outlineLevel="0" collapsed="false">
      <c r="B101" s="35" t="s">
        <v>555</v>
      </c>
      <c r="C101" s="35"/>
      <c r="D101" s="35"/>
      <c r="E101" s="35"/>
      <c r="F101" s="35"/>
      <c r="G101" s="35"/>
      <c r="H101" s="35"/>
    </row>
    <row r="102" customFormat="false" ht="15" hidden="false" customHeight="true" outlineLevel="0" collapsed="false">
      <c r="B102" s="35"/>
      <c r="C102" s="35"/>
      <c r="D102" s="35"/>
      <c r="E102" s="35"/>
      <c r="F102" s="35"/>
      <c r="G102" s="35"/>
      <c r="H102" s="35"/>
    </row>
    <row r="103" customFormat="false" ht="15" hidden="false" customHeight="true" outlineLevel="0" collapsed="false">
      <c r="B103" s="36" t="s">
        <v>556</v>
      </c>
      <c r="C103" s="36"/>
      <c r="D103" s="36"/>
      <c r="E103" s="36"/>
      <c r="F103" s="36"/>
      <c r="G103" s="36"/>
      <c r="H103" s="36"/>
    </row>
    <row r="104" customFormat="false" ht="15" hidden="false" customHeight="true" outlineLevel="0" collapsed="false">
      <c r="B104" s="35" t="s">
        <v>557</v>
      </c>
      <c r="C104" s="35"/>
      <c r="D104" s="35"/>
      <c r="E104" s="35"/>
      <c r="F104" s="35"/>
      <c r="G104" s="35"/>
      <c r="H104" s="35"/>
    </row>
    <row r="105" customFormat="false" ht="15" hidden="false" customHeight="true" outlineLevel="0" collapsed="false">
      <c r="B105" s="35" t="s">
        <v>558</v>
      </c>
      <c r="C105" s="35"/>
      <c r="D105" s="35"/>
      <c r="E105" s="35"/>
      <c r="F105" s="35"/>
      <c r="G105" s="35"/>
      <c r="H105" s="35"/>
    </row>
    <row r="106" customFormat="false" ht="15" hidden="false" customHeight="true" outlineLevel="0" collapsed="false">
      <c r="B106" s="35" t="s">
        <v>559</v>
      </c>
      <c r="C106" s="35"/>
      <c r="D106" s="35"/>
      <c r="E106" s="35"/>
      <c r="F106" s="35"/>
      <c r="G106" s="35"/>
      <c r="H106" s="35"/>
    </row>
    <row r="107" customFormat="false" ht="15" hidden="false" customHeight="true" outlineLevel="0" collapsed="false">
      <c r="B107" s="35" t="s">
        <v>560</v>
      </c>
      <c r="C107" s="35"/>
      <c r="D107" s="35"/>
      <c r="E107" s="35"/>
      <c r="F107" s="35"/>
      <c r="G107" s="35"/>
      <c r="H107" s="35"/>
    </row>
    <row r="108" customFormat="false" ht="15" hidden="false" customHeight="true" outlineLevel="0" collapsed="false">
      <c r="B108" s="35"/>
      <c r="C108" s="35"/>
      <c r="D108" s="35"/>
      <c r="E108" s="35"/>
      <c r="F108" s="35"/>
      <c r="G108" s="35"/>
      <c r="H108" s="35"/>
    </row>
    <row r="109" customFormat="false" ht="15" hidden="false" customHeight="true" outlineLevel="0" collapsed="false">
      <c r="B109" s="36" t="s">
        <v>561</v>
      </c>
      <c r="C109" s="36"/>
      <c r="D109" s="36"/>
      <c r="E109" s="36"/>
      <c r="F109" s="36"/>
      <c r="G109" s="36"/>
      <c r="H109" s="36"/>
    </row>
    <row r="110" customFormat="false" ht="15" hidden="false" customHeight="true" outlineLevel="0" collapsed="false">
      <c r="B110" s="35" t="s">
        <v>562</v>
      </c>
      <c r="C110" s="35"/>
      <c r="D110" s="35"/>
      <c r="E110" s="35"/>
      <c r="F110" s="35"/>
      <c r="G110" s="35"/>
      <c r="H110" s="35"/>
    </row>
  </sheetData>
  <mergeCells count="13">
    <mergeCell ref="B98:H98"/>
    <mergeCell ref="B99:H99"/>
    <mergeCell ref="B100:H100"/>
    <mergeCell ref="B101:H101"/>
    <mergeCell ref="B102:H102"/>
    <mergeCell ref="B103:H103"/>
    <mergeCell ref="B104:H104"/>
    <mergeCell ref="B105:H105"/>
    <mergeCell ref="B106:H106"/>
    <mergeCell ref="B107:H107"/>
    <mergeCell ref="B108:H108"/>
    <mergeCell ref="B109:H109"/>
    <mergeCell ref="B110:H1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30"/>
    <col collapsed="false" customWidth="true" hidden="false" outlineLevel="0" max="24" min="4" style="1" width="12"/>
  </cols>
  <sheetData>
    <row r="1" customFormat="false" ht="17.25" hidden="false" customHeight="true" outlineLevel="0" collapsed="false">
      <c r="B1" s="37" t="s">
        <v>563</v>
      </c>
      <c r="C1" s="37"/>
      <c r="D1" s="37"/>
      <c r="E1" s="37"/>
      <c r="F1" s="37"/>
      <c r="G1" s="37"/>
      <c r="H1" s="37"/>
    </row>
    <row r="2" customFormat="false" ht="15" hidden="false" customHeight="true" outlineLevel="0" collapsed="false">
      <c r="B2" s="38" t="s">
        <v>564</v>
      </c>
      <c r="C2" s="38"/>
      <c r="D2" s="38"/>
      <c r="E2" s="38"/>
      <c r="F2" s="38"/>
      <c r="G2" s="38"/>
      <c r="H2" s="38"/>
    </row>
    <row r="4" customFormat="false" ht="15" hidden="false" customHeight="true" outlineLevel="0" collapsed="false">
      <c r="A4" s="39" t="s">
        <v>565</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row>
    <row r="5" customFormat="false" ht="51.75" hidden="false" customHeight="true" outlineLevel="0" collapsed="false">
      <c r="A5" s="40" t="s">
        <v>0</v>
      </c>
      <c r="B5" s="41" t="s">
        <v>1</v>
      </c>
      <c r="C5" s="42" t="s">
        <v>566</v>
      </c>
      <c r="D5" s="42" t="s">
        <v>567</v>
      </c>
      <c r="E5" s="42" t="s">
        <v>568</v>
      </c>
      <c r="F5" s="42" t="s">
        <v>569</v>
      </c>
      <c r="G5" s="42" t="s">
        <v>570</v>
      </c>
      <c r="H5" s="42" t="s">
        <v>571</v>
      </c>
      <c r="I5" s="42" t="s">
        <v>572</v>
      </c>
      <c r="J5" s="42" t="s">
        <v>573</v>
      </c>
      <c r="K5" s="42" t="s">
        <v>574</v>
      </c>
      <c r="L5" s="42" t="s">
        <v>575</v>
      </c>
      <c r="M5" s="42" t="s">
        <v>576</v>
      </c>
      <c r="N5" s="42" t="s">
        <v>577</v>
      </c>
      <c r="O5" s="42" t="s">
        <v>578</v>
      </c>
      <c r="P5" s="42" t="s">
        <v>579</v>
      </c>
      <c r="Q5" s="42" t="s">
        <v>580</v>
      </c>
      <c r="R5" s="42" t="s">
        <v>581</v>
      </c>
      <c r="S5" s="42" t="s">
        <v>582</v>
      </c>
      <c r="T5" s="42" t="s">
        <v>583</v>
      </c>
      <c r="U5" s="42" t="s">
        <v>584</v>
      </c>
      <c r="V5" s="42" t="s">
        <v>585</v>
      </c>
      <c r="W5" s="42" t="s">
        <v>586</v>
      </c>
      <c r="X5" s="42" t="s">
        <v>587</v>
      </c>
      <c r="Y5" s="42" t="s">
        <v>588</v>
      </c>
      <c r="Z5" s="42" t="s">
        <v>589</v>
      </c>
      <c r="AA5" s="42" t="s">
        <v>590</v>
      </c>
      <c r="AB5" s="42" t="s">
        <v>591</v>
      </c>
      <c r="AC5" s="42" t="s">
        <v>592</v>
      </c>
      <c r="AD5" s="42" t="s">
        <v>593</v>
      </c>
      <c r="AE5" s="42" t="s">
        <v>594</v>
      </c>
    </row>
    <row r="6" customFormat="false" ht="15" hidden="false" customHeight="true" outlineLevel="0" collapsed="false">
      <c r="A6" s="43"/>
      <c r="B6" s="44" t="s">
        <v>595</v>
      </c>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row>
    <row r="7" customFormat="false" ht="15" hidden="false" customHeight="true" outlineLevel="0" collapsed="false">
      <c r="A7" s="45" t="n">
        <v>1</v>
      </c>
      <c r="B7" s="46" t="s">
        <v>596</v>
      </c>
      <c r="C7" s="47" t="n">
        <v>6</v>
      </c>
      <c r="D7" s="47" t="n">
        <v>6</v>
      </c>
      <c r="E7" s="47" t="n">
        <v>6</v>
      </c>
      <c r="F7" s="47" t="n">
        <v>5</v>
      </c>
      <c r="G7" s="47" t="n">
        <v>5</v>
      </c>
      <c r="H7" s="48" t="n">
        <v>3</v>
      </c>
      <c r="I7" s="47" t="n">
        <v>5</v>
      </c>
      <c r="J7" s="47" t="n">
        <v>6.5</v>
      </c>
      <c r="K7" s="47" t="n">
        <v>4.5</v>
      </c>
      <c r="L7" s="47" t="n">
        <v>5</v>
      </c>
      <c r="M7" s="47" t="n">
        <v>5</v>
      </c>
      <c r="N7" s="47" t="n">
        <v>5</v>
      </c>
      <c r="O7" s="47" t="n">
        <v>7</v>
      </c>
      <c r="P7" s="47" t="n">
        <v>5</v>
      </c>
      <c r="Q7" s="47" t="n">
        <v>5</v>
      </c>
      <c r="R7" s="47" t="n">
        <v>6</v>
      </c>
      <c r="S7" s="47" t="n">
        <v>6</v>
      </c>
      <c r="T7" s="48" t="n">
        <v>3</v>
      </c>
      <c r="U7" s="47" t="n">
        <v>7</v>
      </c>
      <c r="V7" s="47" t="n">
        <v>4.5</v>
      </c>
      <c r="W7" s="47" t="n">
        <v>5</v>
      </c>
      <c r="X7" s="47" t="n">
        <v>4</v>
      </c>
      <c r="Y7" s="47" t="n">
        <v>5</v>
      </c>
      <c r="Z7" s="47" t="n">
        <v>6.5</v>
      </c>
      <c r="AA7" s="47" t="n">
        <v>7</v>
      </c>
      <c r="AB7" s="47" t="n">
        <v>3.5</v>
      </c>
      <c r="AC7" s="47" t="n">
        <v>5</v>
      </c>
      <c r="AD7" s="47" t="n">
        <v>5</v>
      </c>
      <c r="AE7" s="47" t="n">
        <v>6</v>
      </c>
    </row>
    <row r="8" customFormat="false" ht="15" hidden="false" customHeight="true" outlineLevel="0" collapsed="false">
      <c r="A8" s="45" t="n">
        <v>2</v>
      </c>
      <c r="B8" s="46" t="s">
        <v>597</v>
      </c>
      <c r="C8" s="47" t="n">
        <v>5</v>
      </c>
      <c r="D8" s="47" t="n">
        <v>7</v>
      </c>
      <c r="E8" s="47" t="n">
        <v>7</v>
      </c>
      <c r="F8" s="47" t="n">
        <v>6</v>
      </c>
      <c r="G8" s="47" t="n">
        <v>6</v>
      </c>
      <c r="H8" s="47" t="n">
        <v>7</v>
      </c>
      <c r="I8" s="47" t="n">
        <v>7</v>
      </c>
      <c r="J8" s="47" t="n">
        <v>6</v>
      </c>
      <c r="K8" s="47" t="n">
        <v>7</v>
      </c>
      <c r="L8" s="47" t="n">
        <v>6</v>
      </c>
      <c r="M8" s="47" t="n">
        <v>6</v>
      </c>
      <c r="N8" s="47" t="n">
        <v>6</v>
      </c>
      <c r="O8" s="47" t="n">
        <v>4</v>
      </c>
      <c r="P8" s="47" t="n">
        <v>6</v>
      </c>
      <c r="Q8" s="47" t="n">
        <v>7</v>
      </c>
      <c r="R8" s="47" t="n">
        <v>7</v>
      </c>
      <c r="S8" s="47" t="n">
        <v>7</v>
      </c>
      <c r="T8" s="47" t="n">
        <v>5</v>
      </c>
      <c r="U8" s="47" t="n">
        <v>4</v>
      </c>
      <c r="V8" s="48" t="n">
        <v>3</v>
      </c>
      <c r="W8" s="47" t="n">
        <v>5</v>
      </c>
      <c r="X8" s="47" t="n">
        <v>5</v>
      </c>
      <c r="Y8" s="47" t="n">
        <v>7</v>
      </c>
      <c r="Z8" s="47" t="n">
        <v>7</v>
      </c>
      <c r="AA8" s="47" t="n">
        <v>4</v>
      </c>
      <c r="AB8" s="47" t="n">
        <v>4</v>
      </c>
      <c r="AC8" s="47" t="n">
        <v>5</v>
      </c>
      <c r="AD8" s="47" t="n">
        <v>5</v>
      </c>
      <c r="AE8" s="47" t="n">
        <v>7</v>
      </c>
    </row>
    <row r="9" customFormat="false" ht="15" hidden="false" customHeight="true" outlineLevel="0" collapsed="false">
      <c r="A9" s="45" t="n">
        <v>3</v>
      </c>
      <c r="B9" s="46" t="s">
        <v>598</v>
      </c>
      <c r="C9" s="48" t="n">
        <v>1</v>
      </c>
      <c r="D9" s="48" t="n">
        <v>1</v>
      </c>
      <c r="E9" s="48" t="n">
        <v>1</v>
      </c>
      <c r="F9" s="48" t="n">
        <v>2</v>
      </c>
      <c r="G9" s="48" t="n">
        <v>3</v>
      </c>
      <c r="H9" s="48" t="n">
        <v>1</v>
      </c>
      <c r="I9" s="48" t="n">
        <v>2</v>
      </c>
      <c r="J9" s="47" t="n">
        <v>5</v>
      </c>
      <c r="K9" s="48" t="n">
        <v>2</v>
      </c>
      <c r="L9" s="48" t="n">
        <v>2</v>
      </c>
      <c r="M9" s="47" t="n">
        <v>5</v>
      </c>
      <c r="N9" s="48" t="n">
        <v>3</v>
      </c>
      <c r="O9" s="48" t="n">
        <v>3</v>
      </c>
      <c r="P9" s="47" t="n">
        <v>5</v>
      </c>
      <c r="Q9" s="47" t="n">
        <v>4</v>
      </c>
      <c r="R9" s="47" t="n">
        <v>7</v>
      </c>
      <c r="S9" s="47" t="n">
        <v>5</v>
      </c>
      <c r="T9" s="48" t="n">
        <v>1</v>
      </c>
      <c r="U9" s="48" t="n">
        <v>2</v>
      </c>
      <c r="V9" s="48" t="n">
        <v>3</v>
      </c>
      <c r="W9" s="48" t="n">
        <v>2</v>
      </c>
      <c r="X9" s="48" t="n">
        <v>3</v>
      </c>
      <c r="Y9" s="47" t="n">
        <v>4</v>
      </c>
      <c r="Z9" s="47" t="n">
        <v>6</v>
      </c>
      <c r="AA9" s="47" t="n">
        <v>5</v>
      </c>
      <c r="AB9" s="48" t="n">
        <v>2</v>
      </c>
      <c r="AC9" s="48" t="n">
        <v>3</v>
      </c>
      <c r="AD9" s="47" t="n">
        <v>4</v>
      </c>
      <c r="AE9" s="47" t="n">
        <v>4</v>
      </c>
    </row>
    <row r="10" customFormat="false" ht="15" hidden="false" customHeight="true" outlineLevel="0" collapsed="false">
      <c r="A10" s="43"/>
      <c r="B10" s="44" t="s">
        <v>599</v>
      </c>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row>
    <row r="11" customFormat="false" ht="15" hidden="false" customHeight="true" outlineLevel="0" collapsed="false">
      <c r="A11" s="45" t="n">
        <v>4</v>
      </c>
      <c r="B11" s="46" t="s">
        <v>600</v>
      </c>
      <c r="C11" s="47" t="n">
        <v>7.2</v>
      </c>
      <c r="D11" s="47" t="n">
        <v>5.4</v>
      </c>
      <c r="E11" s="47" t="n">
        <v>5.4</v>
      </c>
      <c r="F11" s="47" t="n">
        <v>7.2</v>
      </c>
      <c r="G11" s="47" t="n">
        <v>7.2</v>
      </c>
      <c r="H11" s="47" t="n">
        <v>6.3</v>
      </c>
      <c r="I11" s="47" t="n">
        <v>5.9</v>
      </c>
      <c r="J11" s="47" t="n">
        <v>5.4</v>
      </c>
      <c r="K11" s="47" t="n">
        <v>6.3</v>
      </c>
      <c r="L11" s="49" t="n">
        <v>8.1</v>
      </c>
      <c r="M11" s="47" t="n">
        <v>5.9</v>
      </c>
      <c r="N11" s="49" t="n">
        <v>10</v>
      </c>
      <c r="O11" s="47" t="n">
        <v>6.3</v>
      </c>
      <c r="P11" s="47" t="n">
        <v>5.9</v>
      </c>
      <c r="Q11" s="47" t="n">
        <v>5.9</v>
      </c>
      <c r="R11" s="47" t="n">
        <v>3.9</v>
      </c>
      <c r="S11" s="47" t="n">
        <v>5.9</v>
      </c>
      <c r="T11" s="49" t="n">
        <v>10</v>
      </c>
      <c r="U11" s="49" t="n">
        <v>8.1</v>
      </c>
      <c r="V11" s="47" t="n">
        <v>6.3</v>
      </c>
      <c r="W11" s="47" t="n">
        <v>5.9</v>
      </c>
      <c r="X11" s="47" t="n">
        <v>6.7</v>
      </c>
      <c r="Y11" s="47" t="n">
        <v>5.9</v>
      </c>
      <c r="Z11" s="47" t="n">
        <v>4.8</v>
      </c>
      <c r="AA11" s="47" t="n">
        <v>5.4</v>
      </c>
      <c r="AB11" s="49" t="n">
        <v>8.1</v>
      </c>
      <c r="AC11" s="47" t="n">
        <v>6.3</v>
      </c>
      <c r="AD11" s="47" t="n">
        <v>5.9</v>
      </c>
      <c r="AE11" s="47" t="n">
        <v>4.6</v>
      </c>
    </row>
    <row r="12" customFormat="false" ht="15" hidden="false" customHeight="true" outlineLevel="0" collapsed="false">
      <c r="A12" s="45" t="n">
        <v>5</v>
      </c>
      <c r="B12" s="46" t="s">
        <v>601</v>
      </c>
      <c r="C12" s="47" t="n">
        <v>7.5</v>
      </c>
      <c r="D12" s="47" t="n">
        <v>5.4</v>
      </c>
      <c r="E12" s="47" t="n">
        <v>5.4</v>
      </c>
      <c r="F12" s="47" t="n">
        <v>6.9</v>
      </c>
      <c r="G12" s="47" t="n">
        <v>6.8</v>
      </c>
      <c r="H12" s="47" t="n">
        <v>6.1</v>
      </c>
      <c r="I12" s="47" t="n">
        <v>5.6</v>
      </c>
      <c r="J12" s="47" t="n">
        <v>5.4</v>
      </c>
      <c r="K12" s="47" t="n">
        <v>6.3</v>
      </c>
      <c r="L12" s="47" t="n">
        <v>7.8</v>
      </c>
      <c r="M12" s="47" t="n">
        <v>5.4</v>
      </c>
      <c r="N12" s="49" t="n">
        <v>9.6</v>
      </c>
      <c r="O12" s="47" t="n">
        <v>6.5</v>
      </c>
      <c r="P12" s="47" t="n">
        <v>5.2</v>
      </c>
      <c r="Q12" s="47" t="n">
        <v>5.6</v>
      </c>
      <c r="R12" s="47" t="n">
        <v>3.5</v>
      </c>
      <c r="S12" s="47" t="n">
        <v>5.1</v>
      </c>
      <c r="T12" s="49" t="n">
        <v>10</v>
      </c>
      <c r="U12" s="49" t="n">
        <v>8.2</v>
      </c>
      <c r="V12" s="47" t="n">
        <v>6.3</v>
      </c>
      <c r="W12" s="47" t="n">
        <v>5.4</v>
      </c>
      <c r="X12" s="47" t="n">
        <v>6.5</v>
      </c>
      <c r="Y12" s="47" t="n">
        <v>5.4</v>
      </c>
      <c r="Z12" s="47" t="n">
        <v>4.2</v>
      </c>
      <c r="AA12" s="47" t="n">
        <v>4.9</v>
      </c>
      <c r="AB12" s="49" t="n">
        <v>8.2</v>
      </c>
      <c r="AC12" s="47" t="n">
        <v>5.8</v>
      </c>
      <c r="AD12" s="47" t="n">
        <v>5.1</v>
      </c>
      <c r="AE12" s="47" t="n">
        <v>4.4</v>
      </c>
    </row>
    <row r="13" customFormat="false" ht="15" hidden="false" customHeight="true" outlineLevel="0" collapsed="false">
      <c r="A13" s="45" t="n">
        <v>6</v>
      </c>
      <c r="B13" s="46" t="s">
        <v>602</v>
      </c>
      <c r="C13" s="49" t="n">
        <v>8.2</v>
      </c>
      <c r="D13" s="47" t="n">
        <v>5.5</v>
      </c>
      <c r="E13" s="47" t="n">
        <v>6.4</v>
      </c>
      <c r="F13" s="47" t="n">
        <v>6.4</v>
      </c>
      <c r="G13" s="47" t="n">
        <v>6</v>
      </c>
      <c r="H13" s="49" t="n">
        <v>8.2</v>
      </c>
      <c r="I13" s="47" t="n">
        <v>5</v>
      </c>
      <c r="J13" s="47" t="n">
        <v>5</v>
      </c>
      <c r="K13" s="47" t="n">
        <v>5.5</v>
      </c>
      <c r="L13" s="47" t="n">
        <v>7.3</v>
      </c>
      <c r="M13" s="47" t="n">
        <v>4.6</v>
      </c>
      <c r="N13" s="49" t="n">
        <v>9.1</v>
      </c>
      <c r="O13" s="47" t="n">
        <v>6</v>
      </c>
      <c r="P13" s="47" t="n">
        <v>4.2</v>
      </c>
      <c r="Q13" s="47" t="n">
        <v>5</v>
      </c>
      <c r="R13" s="47" t="n">
        <v>3.2</v>
      </c>
      <c r="S13" s="47" t="n">
        <v>4.2</v>
      </c>
      <c r="T13" s="49" t="n">
        <v>10</v>
      </c>
      <c r="U13" s="49" t="n">
        <v>8.2</v>
      </c>
      <c r="V13" s="47" t="n">
        <v>5.5</v>
      </c>
      <c r="W13" s="47" t="n">
        <v>4.2</v>
      </c>
      <c r="X13" s="47" t="n">
        <v>5.5</v>
      </c>
      <c r="Y13" s="47" t="n">
        <v>4.6</v>
      </c>
      <c r="Z13" s="47" t="n">
        <v>3.2</v>
      </c>
      <c r="AA13" s="47" t="n">
        <v>4.2</v>
      </c>
      <c r="AB13" s="47" t="n">
        <v>7.3</v>
      </c>
      <c r="AC13" s="47" t="n">
        <v>4.6</v>
      </c>
      <c r="AD13" s="47" t="n">
        <v>4.2</v>
      </c>
      <c r="AE13" s="47" t="n">
        <v>3.7</v>
      </c>
    </row>
    <row r="14" customFormat="false" ht="15" hidden="false" customHeight="true" outlineLevel="0" collapsed="false">
      <c r="A14" s="45" t="n">
        <v>7</v>
      </c>
      <c r="B14" s="46" t="s">
        <v>603</v>
      </c>
      <c r="C14" s="49" t="n">
        <v>8</v>
      </c>
      <c r="D14" s="49" t="n">
        <v>8</v>
      </c>
      <c r="E14" s="47" t="n">
        <v>6</v>
      </c>
      <c r="F14" s="47" t="n">
        <v>5</v>
      </c>
      <c r="G14" s="47" t="n">
        <v>5</v>
      </c>
      <c r="H14" s="47" t="n">
        <v>6</v>
      </c>
      <c r="I14" s="47" t="n">
        <v>5</v>
      </c>
      <c r="J14" s="47" t="n">
        <v>7</v>
      </c>
      <c r="K14" s="47" t="n">
        <v>5</v>
      </c>
      <c r="L14" s="48" t="n">
        <v>3</v>
      </c>
      <c r="M14" s="47" t="n">
        <v>5</v>
      </c>
      <c r="N14" s="48" t="n">
        <v>3</v>
      </c>
      <c r="O14" s="47" t="n">
        <v>5</v>
      </c>
      <c r="P14" s="47" t="n">
        <v>4</v>
      </c>
      <c r="Q14" s="47" t="n">
        <v>7</v>
      </c>
      <c r="R14" s="49" t="n">
        <v>8</v>
      </c>
      <c r="S14" s="47" t="n">
        <v>5</v>
      </c>
      <c r="T14" s="48" t="n">
        <v>2</v>
      </c>
      <c r="U14" s="48" t="n">
        <v>2</v>
      </c>
      <c r="V14" s="48" t="n">
        <v>3</v>
      </c>
      <c r="W14" s="48" t="n">
        <v>2</v>
      </c>
      <c r="X14" s="48" t="n">
        <v>3</v>
      </c>
      <c r="Y14" s="48" t="n">
        <v>3</v>
      </c>
      <c r="Z14" s="47" t="n">
        <v>6</v>
      </c>
      <c r="AA14" s="48" t="n">
        <v>3</v>
      </c>
      <c r="AB14" s="48" t="n">
        <v>2</v>
      </c>
      <c r="AC14" s="48" t="n">
        <v>1</v>
      </c>
      <c r="AD14" s="48" t="n">
        <v>2</v>
      </c>
      <c r="AE14" s="47" t="n">
        <v>4</v>
      </c>
    </row>
    <row r="15" customFormat="false" ht="15" hidden="false" customHeight="true" outlineLevel="0" collapsed="false">
      <c r="A15" s="43"/>
      <c r="B15" s="44" t="s">
        <v>604</v>
      </c>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row>
    <row r="16" customFormat="false" ht="15" hidden="false" customHeight="true" outlineLevel="0" collapsed="false">
      <c r="A16" s="45" t="n">
        <v>8</v>
      </c>
      <c r="B16" s="46" t="s">
        <v>605</v>
      </c>
      <c r="C16" s="49" t="n">
        <v>9</v>
      </c>
      <c r="D16" s="47" t="n">
        <v>5</v>
      </c>
      <c r="E16" s="47" t="n">
        <v>7</v>
      </c>
      <c r="F16" s="47" t="n">
        <v>7</v>
      </c>
      <c r="G16" s="47" t="n">
        <v>7</v>
      </c>
      <c r="H16" s="49" t="n">
        <v>8</v>
      </c>
      <c r="I16" s="47" t="n">
        <v>7</v>
      </c>
      <c r="J16" s="47" t="n">
        <v>7</v>
      </c>
      <c r="K16" s="49" t="n">
        <v>8</v>
      </c>
      <c r="L16" s="49" t="n">
        <v>9</v>
      </c>
      <c r="M16" s="49" t="n">
        <v>8</v>
      </c>
      <c r="N16" s="49" t="n">
        <v>9</v>
      </c>
      <c r="O16" s="47" t="n">
        <v>7</v>
      </c>
      <c r="P16" s="49" t="n">
        <v>8</v>
      </c>
      <c r="Q16" s="48" t="n">
        <v>2</v>
      </c>
      <c r="R16" s="48" t="n">
        <v>1</v>
      </c>
      <c r="S16" s="47" t="n">
        <v>7</v>
      </c>
      <c r="T16" s="49" t="n">
        <v>9</v>
      </c>
      <c r="U16" s="49" t="n">
        <v>9</v>
      </c>
      <c r="V16" s="49" t="n">
        <v>9</v>
      </c>
      <c r="W16" s="49" t="n">
        <v>8</v>
      </c>
      <c r="X16" s="49" t="n">
        <v>8</v>
      </c>
      <c r="Y16" s="49" t="n">
        <v>8</v>
      </c>
      <c r="Z16" s="47" t="n">
        <v>5</v>
      </c>
      <c r="AA16" s="47" t="n">
        <v>6</v>
      </c>
      <c r="AB16" s="49" t="n">
        <v>9</v>
      </c>
      <c r="AC16" s="49" t="n">
        <v>8</v>
      </c>
      <c r="AD16" s="49" t="n">
        <v>8</v>
      </c>
      <c r="AE16" s="47" t="n">
        <v>7</v>
      </c>
    </row>
    <row r="17" customFormat="false" ht="15" hidden="false" customHeight="true" outlineLevel="0" collapsed="false">
      <c r="A17" s="45" t="n">
        <v>9</v>
      </c>
      <c r="B17" s="46" t="s">
        <v>606</v>
      </c>
      <c r="C17" s="49" t="n">
        <v>10</v>
      </c>
      <c r="D17" s="49" t="n">
        <v>9</v>
      </c>
      <c r="E17" s="47" t="n">
        <v>7</v>
      </c>
      <c r="F17" s="47" t="n">
        <v>5</v>
      </c>
      <c r="G17" s="47" t="n">
        <v>5</v>
      </c>
      <c r="H17" s="47" t="n">
        <v>5</v>
      </c>
      <c r="I17" s="47" t="n">
        <v>5</v>
      </c>
      <c r="J17" s="49" t="n">
        <v>8</v>
      </c>
      <c r="K17" s="47" t="n">
        <v>4</v>
      </c>
      <c r="L17" s="48" t="n">
        <v>3</v>
      </c>
      <c r="M17" s="47" t="n">
        <v>5</v>
      </c>
      <c r="N17" s="48" t="n">
        <v>3</v>
      </c>
      <c r="O17" s="47" t="n">
        <v>4</v>
      </c>
      <c r="P17" s="47" t="n">
        <v>4</v>
      </c>
      <c r="Q17" s="47" t="n">
        <v>5</v>
      </c>
      <c r="R17" s="47" t="n">
        <v>7</v>
      </c>
      <c r="S17" s="48" t="n">
        <v>3</v>
      </c>
      <c r="T17" s="48" t="n">
        <v>1</v>
      </c>
      <c r="U17" s="48" t="n">
        <v>1</v>
      </c>
      <c r="V17" s="48" t="n">
        <v>2</v>
      </c>
      <c r="W17" s="48" t="n">
        <v>2</v>
      </c>
      <c r="X17" s="48" t="n">
        <v>2</v>
      </c>
      <c r="Y17" s="48" t="n">
        <v>2</v>
      </c>
      <c r="Z17" s="49" t="n">
        <v>8</v>
      </c>
      <c r="AA17" s="48" t="n">
        <v>3</v>
      </c>
      <c r="AB17" s="48" t="n">
        <v>1</v>
      </c>
      <c r="AC17" s="48" t="n">
        <v>1</v>
      </c>
      <c r="AD17" s="48" t="n">
        <v>1</v>
      </c>
      <c r="AE17" s="48" t="n">
        <v>2</v>
      </c>
    </row>
    <row r="18" customFormat="false" ht="15" hidden="false" customHeight="true" outlineLevel="0" collapsed="false">
      <c r="A18" s="45" t="n">
        <v>10</v>
      </c>
      <c r="B18" s="46" t="s">
        <v>607</v>
      </c>
      <c r="C18" s="47" t="n">
        <v>6</v>
      </c>
      <c r="D18" s="47" t="n">
        <v>5</v>
      </c>
      <c r="E18" s="47" t="n">
        <v>5</v>
      </c>
      <c r="F18" s="47" t="n">
        <v>5</v>
      </c>
      <c r="G18" s="47" t="n">
        <v>5</v>
      </c>
      <c r="H18" s="47" t="n">
        <v>5</v>
      </c>
      <c r="I18" s="47" t="n">
        <v>5</v>
      </c>
      <c r="J18" s="47" t="n">
        <v>5</v>
      </c>
      <c r="K18" s="47" t="n">
        <v>5</v>
      </c>
      <c r="L18" s="47" t="n">
        <v>5</v>
      </c>
      <c r="M18" s="47" t="n">
        <v>5</v>
      </c>
      <c r="N18" s="47" t="n">
        <v>4</v>
      </c>
      <c r="O18" s="47" t="n">
        <v>4</v>
      </c>
      <c r="P18" s="47" t="n">
        <v>5</v>
      </c>
      <c r="Q18" s="47" t="n">
        <v>5</v>
      </c>
      <c r="R18" s="47" t="n">
        <v>4</v>
      </c>
      <c r="S18" s="47" t="n">
        <v>6</v>
      </c>
      <c r="T18" s="48" t="n">
        <v>3</v>
      </c>
      <c r="U18" s="48" t="n">
        <v>3</v>
      </c>
      <c r="V18" s="47" t="n">
        <v>4</v>
      </c>
      <c r="W18" s="47" t="n">
        <v>4</v>
      </c>
      <c r="X18" s="47" t="n">
        <v>4</v>
      </c>
      <c r="Y18" s="47" t="n">
        <v>4</v>
      </c>
      <c r="Z18" s="48" t="n">
        <v>3</v>
      </c>
      <c r="AA18" s="47" t="n">
        <v>4</v>
      </c>
      <c r="AB18" s="48" t="n">
        <v>3</v>
      </c>
      <c r="AC18" s="47" t="n">
        <v>4</v>
      </c>
      <c r="AD18" s="47" t="n">
        <v>4</v>
      </c>
      <c r="AE18" s="47" t="n">
        <v>4</v>
      </c>
    </row>
    <row r="19" customFormat="false" ht="15" hidden="false" customHeight="true" outlineLevel="0" collapsed="false">
      <c r="A19" s="43"/>
      <c r="B19" s="44" t="s">
        <v>608</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row>
    <row r="20" customFormat="false" ht="15" hidden="false" customHeight="true" outlineLevel="0" collapsed="false">
      <c r="A20" s="45" t="n">
        <v>11</v>
      </c>
      <c r="B20" s="46" t="s">
        <v>609</v>
      </c>
      <c r="C20" s="47" t="n">
        <v>7.2</v>
      </c>
      <c r="D20" s="47" t="n">
        <v>7.8</v>
      </c>
      <c r="E20" s="47" t="n">
        <v>6.6</v>
      </c>
      <c r="F20" s="47" t="n">
        <v>5.7</v>
      </c>
      <c r="G20" s="47" t="n">
        <v>5.7</v>
      </c>
      <c r="H20" s="47" t="n">
        <v>5.7</v>
      </c>
      <c r="I20" s="47" t="n">
        <v>5.7</v>
      </c>
      <c r="J20" s="47" t="n">
        <v>7.2</v>
      </c>
      <c r="K20" s="47" t="n">
        <v>5</v>
      </c>
      <c r="L20" s="47" t="n">
        <v>4.1</v>
      </c>
      <c r="M20" s="47" t="n">
        <v>6.3</v>
      </c>
      <c r="N20" s="47" t="n">
        <v>4.1</v>
      </c>
      <c r="O20" s="47" t="n">
        <v>5.7</v>
      </c>
      <c r="P20" s="47" t="n">
        <v>5</v>
      </c>
      <c r="Q20" s="47" t="n">
        <v>6.6</v>
      </c>
      <c r="R20" s="47" t="n">
        <v>7.2</v>
      </c>
      <c r="S20" s="47" t="n">
        <v>5.7</v>
      </c>
      <c r="T20" s="48" t="n">
        <v>1</v>
      </c>
      <c r="U20" s="47" t="n">
        <v>3.2</v>
      </c>
      <c r="V20" s="47" t="n">
        <v>4.1</v>
      </c>
      <c r="W20" s="47" t="n">
        <v>3.2</v>
      </c>
      <c r="X20" s="47" t="n">
        <v>3.2</v>
      </c>
      <c r="Y20" s="48" t="n">
        <v>2.6</v>
      </c>
      <c r="Z20" s="49" t="n">
        <v>8.1</v>
      </c>
      <c r="AA20" s="47" t="n">
        <v>4.1</v>
      </c>
      <c r="AB20" s="48" t="n">
        <v>1</v>
      </c>
      <c r="AC20" s="48" t="n">
        <v>1</v>
      </c>
      <c r="AD20" s="48" t="n">
        <v>2.6</v>
      </c>
      <c r="AE20" s="47" t="n">
        <v>4.1</v>
      </c>
    </row>
    <row r="21" customFormat="false" ht="15" hidden="false" customHeight="true" outlineLevel="0" collapsed="false">
      <c r="A21" s="45" t="n">
        <v>12</v>
      </c>
      <c r="B21" s="46" t="s">
        <v>610</v>
      </c>
      <c r="C21" s="49" t="n">
        <v>9.6</v>
      </c>
      <c r="D21" s="49" t="n">
        <v>8.9</v>
      </c>
      <c r="E21" s="47" t="n">
        <v>7.8</v>
      </c>
      <c r="F21" s="47" t="n">
        <v>7.3</v>
      </c>
      <c r="G21" s="47" t="n">
        <v>6.6</v>
      </c>
      <c r="H21" s="47" t="n">
        <v>6.6</v>
      </c>
      <c r="I21" s="47" t="n">
        <v>6.6</v>
      </c>
      <c r="J21" s="47" t="n">
        <v>6</v>
      </c>
      <c r="K21" s="47" t="n">
        <v>6</v>
      </c>
      <c r="L21" s="47" t="n">
        <v>5</v>
      </c>
      <c r="M21" s="47" t="n">
        <v>6.6</v>
      </c>
      <c r="N21" s="47" t="n">
        <v>4.4</v>
      </c>
      <c r="O21" s="47" t="n">
        <v>5</v>
      </c>
      <c r="P21" s="47" t="n">
        <v>5.5</v>
      </c>
      <c r="Q21" s="47" t="n">
        <v>6</v>
      </c>
      <c r="R21" s="47" t="n">
        <v>3.7</v>
      </c>
      <c r="S21" s="47" t="n">
        <v>4.4</v>
      </c>
      <c r="T21" s="48" t="n">
        <v>1.7</v>
      </c>
      <c r="U21" s="47" t="n">
        <v>3.7</v>
      </c>
      <c r="V21" s="47" t="n">
        <v>5.5</v>
      </c>
      <c r="W21" s="47" t="n">
        <v>4.4</v>
      </c>
      <c r="X21" s="47" t="n">
        <v>3.7</v>
      </c>
      <c r="Y21" s="48" t="n">
        <v>2.8</v>
      </c>
      <c r="Z21" s="48" t="n">
        <v>1</v>
      </c>
      <c r="AA21" s="48" t="n">
        <v>2.1</v>
      </c>
      <c r="AB21" s="48" t="n">
        <v>2.1</v>
      </c>
      <c r="AC21" s="48" t="n">
        <v>2.1</v>
      </c>
      <c r="AD21" s="48" t="n">
        <v>1</v>
      </c>
      <c r="AE21" s="48" t="n">
        <v>2.8</v>
      </c>
    </row>
    <row r="22" customFormat="false" ht="15" hidden="false" customHeight="true" outlineLevel="0" collapsed="false">
      <c r="A22" s="45" t="n">
        <v>13</v>
      </c>
      <c r="B22" s="46" t="s">
        <v>611</v>
      </c>
      <c r="C22" s="49" t="n">
        <v>9</v>
      </c>
      <c r="D22" s="49" t="n">
        <v>9</v>
      </c>
      <c r="E22" s="47" t="n">
        <v>7</v>
      </c>
      <c r="F22" s="47" t="n">
        <v>6</v>
      </c>
      <c r="G22" s="47" t="n">
        <v>6</v>
      </c>
      <c r="H22" s="47" t="n">
        <v>7</v>
      </c>
      <c r="I22" s="47" t="n">
        <v>6</v>
      </c>
      <c r="J22" s="47" t="n">
        <v>7</v>
      </c>
      <c r="K22" s="47" t="n">
        <v>5</v>
      </c>
      <c r="L22" s="47" t="n">
        <v>4</v>
      </c>
      <c r="M22" s="47" t="n">
        <v>5</v>
      </c>
      <c r="N22" s="48" t="n">
        <v>3</v>
      </c>
      <c r="O22" s="47" t="n">
        <v>5</v>
      </c>
      <c r="P22" s="47" t="n">
        <v>4</v>
      </c>
      <c r="Q22" s="49" t="n">
        <v>8</v>
      </c>
      <c r="R22" s="49" t="n">
        <v>9</v>
      </c>
      <c r="S22" s="47" t="n">
        <v>6</v>
      </c>
      <c r="T22" s="48" t="n">
        <v>2</v>
      </c>
      <c r="U22" s="48" t="n">
        <v>3</v>
      </c>
      <c r="V22" s="48" t="n">
        <v>3</v>
      </c>
      <c r="W22" s="48" t="n">
        <v>3</v>
      </c>
      <c r="X22" s="48" t="n">
        <v>3</v>
      </c>
      <c r="Y22" s="48" t="n">
        <v>3</v>
      </c>
      <c r="Z22" s="47" t="n">
        <v>7</v>
      </c>
      <c r="AA22" s="48" t="n">
        <v>3</v>
      </c>
      <c r="AB22" s="48" t="n">
        <v>2</v>
      </c>
      <c r="AC22" s="48" t="n">
        <v>1</v>
      </c>
      <c r="AD22" s="48" t="n">
        <v>2</v>
      </c>
      <c r="AE22" s="47" t="n">
        <v>4</v>
      </c>
    </row>
    <row r="23" customFormat="false" ht="15" hidden="false" customHeight="true" outlineLevel="0" collapsed="false">
      <c r="A23" s="45" t="n">
        <v>14</v>
      </c>
      <c r="B23" s="46" t="s">
        <v>612</v>
      </c>
      <c r="C23" s="49" t="n">
        <v>9</v>
      </c>
      <c r="D23" s="49" t="n">
        <v>9</v>
      </c>
      <c r="E23" s="49" t="n">
        <v>8</v>
      </c>
      <c r="F23" s="47" t="n">
        <v>7</v>
      </c>
      <c r="G23" s="47" t="n">
        <v>6</v>
      </c>
      <c r="H23" s="47" t="n">
        <v>7</v>
      </c>
      <c r="I23" s="47" t="n">
        <v>7</v>
      </c>
      <c r="J23" s="49" t="n">
        <v>8</v>
      </c>
      <c r="K23" s="47" t="n">
        <v>6</v>
      </c>
      <c r="L23" s="47" t="n">
        <v>5</v>
      </c>
      <c r="M23" s="47" t="n">
        <v>7</v>
      </c>
      <c r="N23" s="47" t="n">
        <v>5</v>
      </c>
      <c r="O23" s="47" t="n">
        <v>7</v>
      </c>
      <c r="P23" s="47" t="n">
        <v>6</v>
      </c>
      <c r="Q23" s="49" t="n">
        <v>8</v>
      </c>
      <c r="R23" s="49" t="n">
        <v>9</v>
      </c>
      <c r="S23" s="47" t="n">
        <v>6</v>
      </c>
      <c r="T23" s="47" t="n">
        <v>4</v>
      </c>
      <c r="U23" s="47" t="n">
        <v>5</v>
      </c>
      <c r="V23" s="47" t="n">
        <v>5</v>
      </c>
      <c r="W23" s="47" t="n">
        <v>5</v>
      </c>
      <c r="X23" s="47" t="n">
        <v>5</v>
      </c>
      <c r="Y23" s="47" t="n">
        <v>5</v>
      </c>
      <c r="Z23" s="47" t="n">
        <v>4</v>
      </c>
      <c r="AA23" s="47" t="n">
        <v>5</v>
      </c>
      <c r="AB23" s="47" t="n">
        <v>4</v>
      </c>
      <c r="AC23" s="47" t="n">
        <v>4</v>
      </c>
      <c r="AD23" s="47" t="n">
        <v>4</v>
      </c>
      <c r="AE23" s="47" t="n">
        <v>5</v>
      </c>
    </row>
    <row r="24" customFormat="false" ht="15" hidden="false" customHeight="true" outlineLevel="0" collapsed="false">
      <c r="A24" s="45" t="n">
        <v>15</v>
      </c>
      <c r="B24" s="46" t="s">
        <v>613</v>
      </c>
      <c r="C24" s="49" t="n">
        <v>8</v>
      </c>
      <c r="D24" s="49" t="n">
        <v>8</v>
      </c>
      <c r="E24" s="47" t="n">
        <v>6</v>
      </c>
      <c r="F24" s="47" t="n">
        <v>6</v>
      </c>
      <c r="G24" s="47" t="n">
        <v>5</v>
      </c>
      <c r="H24" s="47" t="n">
        <v>4</v>
      </c>
      <c r="I24" s="47" t="n">
        <v>5</v>
      </c>
      <c r="J24" s="47" t="n">
        <v>6</v>
      </c>
      <c r="K24" s="47" t="n">
        <v>5</v>
      </c>
      <c r="L24" s="47" t="n">
        <v>4</v>
      </c>
      <c r="M24" s="47" t="n">
        <v>5</v>
      </c>
      <c r="N24" s="48" t="n">
        <v>2</v>
      </c>
      <c r="O24" s="47" t="n">
        <v>5</v>
      </c>
      <c r="P24" s="47" t="n">
        <v>4</v>
      </c>
      <c r="Q24" s="47" t="n">
        <v>5</v>
      </c>
      <c r="R24" s="47" t="n">
        <v>7</v>
      </c>
      <c r="S24" s="47" t="n">
        <v>4</v>
      </c>
      <c r="T24" s="48" t="n">
        <v>2</v>
      </c>
      <c r="U24" s="48" t="n">
        <v>3</v>
      </c>
      <c r="V24" s="47" t="n">
        <v>4</v>
      </c>
      <c r="W24" s="47" t="n">
        <v>4</v>
      </c>
      <c r="X24" s="48" t="n">
        <v>3</v>
      </c>
      <c r="Y24" s="48" t="n">
        <v>3</v>
      </c>
      <c r="Z24" s="48" t="n">
        <v>3</v>
      </c>
      <c r="AA24" s="47" t="n">
        <v>4</v>
      </c>
      <c r="AB24" s="48" t="n">
        <v>2</v>
      </c>
      <c r="AC24" s="48" t="n">
        <v>3</v>
      </c>
      <c r="AD24" s="48" t="n">
        <v>2</v>
      </c>
      <c r="AE24" s="48" t="n">
        <v>2</v>
      </c>
    </row>
    <row r="25" customFormat="false" ht="15" hidden="false" customHeight="true" outlineLevel="0" collapsed="false">
      <c r="A25" s="45" t="n">
        <v>16</v>
      </c>
      <c r="B25" s="46" t="s">
        <v>614</v>
      </c>
      <c r="C25" s="49" t="n">
        <v>9.5</v>
      </c>
      <c r="D25" s="49" t="n">
        <v>9.5</v>
      </c>
      <c r="E25" s="49" t="n">
        <v>8.8</v>
      </c>
      <c r="F25" s="47" t="n">
        <v>7.7</v>
      </c>
      <c r="G25" s="47" t="n">
        <v>7.2</v>
      </c>
      <c r="H25" s="47" t="n">
        <v>6.2</v>
      </c>
      <c r="I25" s="47" t="n">
        <v>7.7</v>
      </c>
      <c r="J25" s="49" t="n">
        <v>8.2</v>
      </c>
      <c r="K25" s="47" t="n">
        <v>7.2</v>
      </c>
      <c r="L25" s="47" t="n">
        <v>5.7</v>
      </c>
      <c r="M25" s="47" t="n">
        <v>7.2</v>
      </c>
      <c r="N25" s="47" t="n">
        <v>3.1</v>
      </c>
      <c r="O25" s="47" t="n">
        <v>7.7</v>
      </c>
      <c r="P25" s="47" t="n">
        <v>6.7</v>
      </c>
      <c r="Q25" s="49" t="n">
        <v>8.2</v>
      </c>
      <c r="R25" s="49" t="n">
        <v>9.1</v>
      </c>
      <c r="S25" s="47" t="n">
        <v>7.2</v>
      </c>
      <c r="T25" s="48" t="n">
        <v>2</v>
      </c>
      <c r="U25" s="47" t="n">
        <v>4.6</v>
      </c>
      <c r="V25" s="47" t="n">
        <v>6.2</v>
      </c>
      <c r="W25" s="47" t="n">
        <v>5.7</v>
      </c>
      <c r="X25" s="47" t="n">
        <v>4.6</v>
      </c>
      <c r="Y25" s="47" t="n">
        <v>5.1</v>
      </c>
      <c r="Z25" s="47" t="n">
        <v>6.2</v>
      </c>
      <c r="AA25" s="47" t="n">
        <v>7.2</v>
      </c>
      <c r="AB25" s="48" t="n">
        <v>1</v>
      </c>
      <c r="AC25" s="47" t="n">
        <v>4.6</v>
      </c>
      <c r="AD25" s="47" t="n">
        <v>4.1</v>
      </c>
      <c r="AE25" s="48" t="n">
        <v>1.5</v>
      </c>
    </row>
    <row r="26" customFormat="false" ht="15" hidden="false" customHeight="true" outlineLevel="0" collapsed="false">
      <c r="A26" s="45" t="n">
        <v>17</v>
      </c>
      <c r="B26" s="46" t="s">
        <v>615</v>
      </c>
      <c r="C26" s="49" t="n">
        <v>8</v>
      </c>
      <c r="D26" s="49" t="n">
        <v>8</v>
      </c>
      <c r="E26" s="47" t="n">
        <v>7</v>
      </c>
      <c r="F26" s="47" t="n">
        <v>7</v>
      </c>
      <c r="G26" s="47" t="n">
        <v>7</v>
      </c>
      <c r="H26" s="47" t="n">
        <v>6</v>
      </c>
      <c r="I26" s="47" t="n">
        <v>7</v>
      </c>
      <c r="J26" s="49" t="n">
        <v>8</v>
      </c>
      <c r="K26" s="49" t="n">
        <v>8</v>
      </c>
      <c r="L26" s="47" t="n">
        <v>7</v>
      </c>
      <c r="M26" s="47" t="n">
        <v>7</v>
      </c>
      <c r="N26" s="47" t="n">
        <v>6</v>
      </c>
      <c r="O26" s="49" t="n">
        <v>8</v>
      </c>
      <c r="P26" s="47" t="n">
        <v>7</v>
      </c>
      <c r="Q26" s="49" t="n">
        <v>9</v>
      </c>
      <c r="R26" s="49" t="n">
        <v>9</v>
      </c>
      <c r="S26" s="49" t="n">
        <v>8</v>
      </c>
      <c r="T26" s="47" t="n">
        <v>5</v>
      </c>
      <c r="U26" s="47" t="n">
        <v>5</v>
      </c>
      <c r="V26" s="47" t="n">
        <v>5</v>
      </c>
      <c r="W26" s="47" t="n">
        <v>4</v>
      </c>
      <c r="X26" s="47" t="n">
        <v>6</v>
      </c>
      <c r="Y26" s="47" t="n">
        <v>7</v>
      </c>
      <c r="Z26" s="49" t="n">
        <v>9</v>
      </c>
      <c r="AA26" s="47" t="n">
        <v>7</v>
      </c>
      <c r="AB26" s="47" t="n">
        <v>4</v>
      </c>
      <c r="AC26" s="48" t="n">
        <v>3</v>
      </c>
      <c r="AD26" s="47" t="n">
        <v>6</v>
      </c>
      <c r="AE26" s="49" t="n">
        <v>8</v>
      </c>
    </row>
    <row r="27" customFormat="false" ht="15" hidden="false" customHeight="true" outlineLevel="0" collapsed="false">
      <c r="A27" s="43"/>
      <c r="B27" s="44" t="s">
        <v>616</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customFormat="false" ht="15" hidden="false" customHeight="true" outlineLevel="0" collapsed="false">
      <c r="A28" s="45" t="n">
        <v>18</v>
      </c>
      <c r="B28" s="46" t="s">
        <v>617</v>
      </c>
      <c r="C28" s="47" t="n">
        <v>6</v>
      </c>
      <c r="D28" s="47" t="n">
        <v>5</v>
      </c>
      <c r="E28" s="47" t="n">
        <v>6</v>
      </c>
      <c r="F28" s="49" t="n">
        <v>8</v>
      </c>
      <c r="G28" s="49" t="n">
        <v>9</v>
      </c>
      <c r="H28" s="49" t="n">
        <v>8</v>
      </c>
      <c r="I28" s="49" t="n">
        <v>8</v>
      </c>
      <c r="J28" s="47" t="n">
        <v>6</v>
      </c>
      <c r="K28" s="47" t="n">
        <v>7</v>
      </c>
      <c r="L28" s="49" t="n">
        <v>9</v>
      </c>
      <c r="M28" s="47" t="n">
        <v>7</v>
      </c>
      <c r="N28" s="49" t="n">
        <v>8</v>
      </c>
      <c r="O28" s="47" t="n">
        <v>6</v>
      </c>
      <c r="P28" s="49" t="n">
        <v>8</v>
      </c>
      <c r="Q28" s="47" t="n">
        <v>4</v>
      </c>
      <c r="R28" s="47" t="n">
        <v>5</v>
      </c>
      <c r="S28" s="47" t="n">
        <v>5</v>
      </c>
      <c r="T28" s="49" t="n">
        <v>9</v>
      </c>
      <c r="U28" s="47" t="n">
        <v>7</v>
      </c>
      <c r="V28" s="47" t="n">
        <v>7</v>
      </c>
      <c r="W28" s="49" t="n">
        <v>9</v>
      </c>
      <c r="X28" s="49" t="n">
        <v>8</v>
      </c>
      <c r="Y28" s="49" t="n">
        <v>8</v>
      </c>
      <c r="Z28" s="47" t="n">
        <v>5</v>
      </c>
      <c r="AA28" s="47" t="n">
        <v>6</v>
      </c>
      <c r="AB28" s="49" t="n">
        <v>8</v>
      </c>
      <c r="AC28" s="49" t="n">
        <v>9</v>
      </c>
      <c r="AD28" s="49" t="n">
        <v>9</v>
      </c>
      <c r="AE28" s="47" t="n">
        <v>7</v>
      </c>
    </row>
    <row r="29" customFormat="false" ht="15" hidden="false" customHeight="true" outlineLevel="0" collapsed="false">
      <c r="A29" s="45" t="n">
        <v>19</v>
      </c>
      <c r="B29" s="46" t="s">
        <v>618</v>
      </c>
      <c r="C29" s="49" t="n">
        <v>8</v>
      </c>
      <c r="D29" s="47" t="n">
        <v>6</v>
      </c>
      <c r="E29" s="49" t="n">
        <v>9</v>
      </c>
      <c r="F29" s="49" t="n">
        <v>9</v>
      </c>
      <c r="G29" s="49" t="n">
        <v>10</v>
      </c>
      <c r="H29" s="49" t="n">
        <v>9</v>
      </c>
      <c r="I29" s="49" t="n">
        <v>9</v>
      </c>
      <c r="J29" s="47" t="n">
        <v>7</v>
      </c>
      <c r="K29" s="49" t="n">
        <v>9</v>
      </c>
      <c r="L29" s="49" t="n">
        <v>10</v>
      </c>
      <c r="M29" s="49" t="n">
        <v>8</v>
      </c>
      <c r="N29" s="49" t="n">
        <v>10</v>
      </c>
      <c r="O29" s="49" t="n">
        <v>8</v>
      </c>
      <c r="P29" s="49" t="n">
        <v>9</v>
      </c>
      <c r="Q29" s="48" t="n">
        <v>3</v>
      </c>
      <c r="R29" s="48" t="n">
        <v>2</v>
      </c>
      <c r="S29" s="47" t="n">
        <v>7</v>
      </c>
      <c r="T29" s="49" t="n">
        <v>10</v>
      </c>
      <c r="U29" s="49" t="n">
        <v>9</v>
      </c>
      <c r="V29" s="49" t="n">
        <v>9</v>
      </c>
      <c r="W29" s="49" t="n">
        <v>10</v>
      </c>
      <c r="X29" s="49" t="n">
        <v>9</v>
      </c>
      <c r="Y29" s="49" t="n">
        <v>9</v>
      </c>
      <c r="Z29" s="47" t="n">
        <v>6</v>
      </c>
      <c r="AA29" s="47" t="n">
        <v>7</v>
      </c>
      <c r="AB29" s="49" t="n">
        <v>10</v>
      </c>
      <c r="AC29" s="49" t="n">
        <v>10</v>
      </c>
      <c r="AD29" s="49" t="n">
        <v>10</v>
      </c>
      <c r="AE29" s="49" t="n">
        <v>8</v>
      </c>
    </row>
    <row r="30" customFormat="false" ht="15" hidden="false" customHeight="true" outlineLevel="0" collapsed="false">
      <c r="A30" s="43"/>
      <c r="B30" s="44" t="s">
        <v>619</v>
      </c>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row>
    <row r="31" customFormat="false" ht="15" hidden="false" customHeight="true" outlineLevel="0" collapsed="false">
      <c r="A31" s="45" t="n">
        <v>20</v>
      </c>
      <c r="B31" s="46" t="s">
        <v>620</v>
      </c>
      <c r="C31" s="49" t="n">
        <v>10</v>
      </c>
      <c r="D31" s="49" t="n">
        <v>9.5</v>
      </c>
      <c r="E31" s="49" t="n">
        <v>8.7</v>
      </c>
      <c r="F31" s="49" t="n">
        <v>8.7</v>
      </c>
      <c r="G31" s="47" t="n">
        <v>7.4</v>
      </c>
      <c r="H31" s="47" t="n">
        <v>7.9</v>
      </c>
      <c r="I31" s="47" t="n">
        <v>7.9</v>
      </c>
      <c r="J31" s="47" t="n">
        <v>5.4</v>
      </c>
      <c r="K31" s="47" t="n">
        <v>7.9</v>
      </c>
      <c r="L31" s="47" t="n">
        <v>6.9</v>
      </c>
      <c r="M31" s="47" t="n">
        <v>6.9</v>
      </c>
      <c r="N31" s="47" t="n">
        <v>6.4</v>
      </c>
      <c r="O31" s="47" t="n">
        <v>7.4</v>
      </c>
      <c r="P31" s="47" t="n">
        <v>6.1</v>
      </c>
      <c r="Q31" s="47" t="n">
        <v>6.9</v>
      </c>
      <c r="R31" s="47" t="n">
        <v>6.1</v>
      </c>
      <c r="S31" s="47" t="n">
        <v>5.6</v>
      </c>
      <c r="T31" s="47" t="n">
        <v>6.1</v>
      </c>
      <c r="U31" s="47" t="n">
        <v>6.7</v>
      </c>
      <c r="V31" s="47" t="n">
        <v>7.4</v>
      </c>
      <c r="W31" s="47" t="n">
        <v>7.4</v>
      </c>
      <c r="X31" s="47" t="n">
        <v>5.6</v>
      </c>
      <c r="Y31" s="47" t="n">
        <v>4.9</v>
      </c>
      <c r="Z31" s="48" t="n">
        <v>1</v>
      </c>
      <c r="AA31" s="47" t="n">
        <v>5.4</v>
      </c>
      <c r="AB31" s="47" t="n">
        <v>5.4</v>
      </c>
      <c r="AC31" s="47" t="n">
        <v>6.1</v>
      </c>
      <c r="AD31" s="47" t="n">
        <v>4.3</v>
      </c>
      <c r="AE31" s="47" t="n">
        <v>4.3</v>
      </c>
    </row>
    <row r="32" customFormat="false" ht="15" hidden="false" customHeight="true" outlineLevel="0" collapsed="false">
      <c r="A32" s="45" t="n">
        <v>21</v>
      </c>
      <c r="B32" s="46" t="s">
        <v>621</v>
      </c>
      <c r="C32" s="49" t="n">
        <v>10</v>
      </c>
      <c r="D32" s="49" t="n">
        <v>9.6</v>
      </c>
      <c r="E32" s="49" t="n">
        <v>8.9</v>
      </c>
      <c r="F32" s="49" t="n">
        <v>8.7</v>
      </c>
      <c r="G32" s="47" t="n">
        <v>7.8</v>
      </c>
      <c r="H32" s="49" t="n">
        <v>8.2</v>
      </c>
      <c r="I32" s="49" t="n">
        <v>8.2</v>
      </c>
      <c r="J32" s="47" t="n">
        <v>5.5</v>
      </c>
      <c r="K32" s="49" t="n">
        <v>8</v>
      </c>
      <c r="L32" s="47" t="n">
        <v>7.1</v>
      </c>
      <c r="M32" s="47" t="n">
        <v>7.1</v>
      </c>
      <c r="N32" s="47" t="n">
        <v>6.4</v>
      </c>
      <c r="O32" s="47" t="n">
        <v>7.3</v>
      </c>
      <c r="P32" s="47" t="n">
        <v>6.4</v>
      </c>
      <c r="Q32" s="47" t="n">
        <v>7.1</v>
      </c>
      <c r="R32" s="47" t="n">
        <v>6.4</v>
      </c>
      <c r="S32" s="47" t="n">
        <v>5.5</v>
      </c>
      <c r="T32" s="47" t="n">
        <v>6</v>
      </c>
      <c r="U32" s="47" t="n">
        <v>6.6</v>
      </c>
      <c r="V32" s="47" t="n">
        <v>7.5</v>
      </c>
      <c r="W32" s="47" t="n">
        <v>7.3</v>
      </c>
      <c r="X32" s="47" t="n">
        <v>5.5</v>
      </c>
      <c r="Y32" s="47" t="n">
        <v>4.8</v>
      </c>
      <c r="Z32" s="48" t="n">
        <v>1</v>
      </c>
      <c r="AA32" s="47" t="n">
        <v>4.8</v>
      </c>
      <c r="AB32" s="47" t="n">
        <v>5.5</v>
      </c>
      <c r="AC32" s="47" t="n">
        <v>6</v>
      </c>
      <c r="AD32" s="47" t="n">
        <v>3.7</v>
      </c>
      <c r="AE32" s="47" t="n">
        <v>3.7</v>
      </c>
    </row>
    <row r="33" customFormat="false" ht="15" hidden="false" customHeight="true" outlineLevel="0" collapsed="false">
      <c r="A33" s="45" t="n">
        <v>22</v>
      </c>
      <c r="B33" s="46" t="s">
        <v>622</v>
      </c>
      <c r="C33" s="47" t="n">
        <v>6</v>
      </c>
      <c r="D33" s="47" t="n">
        <v>7</v>
      </c>
      <c r="E33" s="49" t="n">
        <v>8</v>
      </c>
      <c r="F33" s="47" t="n">
        <v>7</v>
      </c>
      <c r="G33" s="47" t="n">
        <v>7</v>
      </c>
      <c r="H33" s="49" t="n">
        <v>8</v>
      </c>
      <c r="I33" s="49" t="n">
        <v>8</v>
      </c>
      <c r="J33" s="47" t="n">
        <v>6</v>
      </c>
      <c r="K33" s="47" t="n">
        <v>7</v>
      </c>
      <c r="L33" s="47" t="n">
        <v>7</v>
      </c>
      <c r="M33" s="47" t="n">
        <v>6</v>
      </c>
      <c r="N33" s="49" t="n">
        <v>8</v>
      </c>
      <c r="O33" s="47" t="n">
        <v>7</v>
      </c>
      <c r="P33" s="47" t="n">
        <v>6</v>
      </c>
      <c r="Q33" s="47" t="n">
        <v>7</v>
      </c>
      <c r="R33" s="47" t="n">
        <v>7</v>
      </c>
      <c r="S33" s="47" t="n">
        <v>6</v>
      </c>
      <c r="T33" s="49" t="n">
        <v>10</v>
      </c>
      <c r="U33" s="49" t="n">
        <v>8</v>
      </c>
      <c r="V33" s="49" t="n">
        <v>8</v>
      </c>
      <c r="W33" s="49" t="n">
        <v>8</v>
      </c>
      <c r="X33" s="49" t="n">
        <v>8</v>
      </c>
      <c r="Y33" s="47" t="n">
        <v>7</v>
      </c>
      <c r="Z33" s="47" t="n">
        <v>7</v>
      </c>
      <c r="AA33" s="49" t="n">
        <v>8</v>
      </c>
      <c r="AB33" s="49" t="n">
        <v>9</v>
      </c>
      <c r="AC33" s="49" t="n">
        <v>9</v>
      </c>
      <c r="AD33" s="49" t="n">
        <v>8</v>
      </c>
      <c r="AE33" s="47" t="n">
        <v>7</v>
      </c>
    </row>
    <row r="34" customFormat="false" ht="15" hidden="false" customHeight="true" outlineLevel="0" collapsed="false">
      <c r="A34" s="45" t="n">
        <v>23</v>
      </c>
      <c r="B34" s="46" t="s">
        <v>623</v>
      </c>
      <c r="C34" s="47" t="n">
        <v>4</v>
      </c>
      <c r="D34" s="47" t="n">
        <v>6</v>
      </c>
      <c r="E34" s="47" t="n">
        <v>7</v>
      </c>
      <c r="F34" s="47" t="n">
        <v>7</v>
      </c>
      <c r="G34" s="49" t="n">
        <v>8</v>
      </c>
      <c r="H34" s="49" t="n">
        <v>9</v>
      </c>
      <c r="I34" s="49" t="n">
        <v>9</v>
      </c>
      <c r="J34" s="47" t="n">
        <v>5</v>
      </c>
      <c r="K34" s="49" t="n">
        <v>8</v>
      </c>
      <c r="L34" s="47" t="n">
        <v>7</v>
      </c>
      <c r="M34" s="47" t="n">
        <v>5</v>
      </c>
      <c r="N34" s="47" t="n">
        <v>6</v>
      </c>
      <c r="O34" s="47" t="n">
        <v>6</v>
      </c>
      <c r="P34" s="47" t="n">
        <v>6</v>
      </c>
      <c r="Q34" s="47" t="n">
        <v>6</v>
      </c>
      <c r="R34" s="47" t="n">
        <v>6</v>
      </c>
      <c r="S34" s="47" t="n">
        <v>6</v>
      </c>
      <c r="T34" s="49" t="n">
        <v>8</v>
      </c>
      <c r="U34" s="47" t="n">
        <v>7</v>
      </c>
      <c r="V34" s="49" t="n">
        <v>9</v>
      </c>
      <c r="W34" s="49" t="n">
        <v>8</v>
      </c>
      <c r="X34" s="49" t="n">
        <v>8</v>
      </c>
      <c r="Y34" s="49" t="n">
        <v>8</v>
      </c>
      <c r="Z34" s="49" t="n">
        <v>10</v>
      </c>
      <c r="AA34" s="47" t="n">
        <v>7</v>
      </c>
      <c r="AB34" s="47" t="n">
        <v>6</v>
      </c>
      <c r="AC34" s="47" t="n">
        <v>7</v>
      </c>
      <c r="AD34" s="49" t="n">
        <v>9</v>
      </c>
      <c r="AE34" s="49" t="n">
        <v>8</v>
      </c>
    </row>
    <row r="35" customFormat="false" ht="15" hidden="false" customHeight="true" outlineLevel="0" collapsed="false">
      <c r="A35" s="45" t="n">
        <v>24</v>
      </c>
      <c r="B35" s="46" t="s">
        <v>624</v>
      </c>
      <c r="C35" s="47" t="n">
        <v>7</v>
      </c>
      <c r="D35" s="47" t="n">
        <v>6</v>
      </c>
      <c r="E35" s="49" t="n">
        <v>8</v>
      </c>
      <c r="F35" s="47" t="n">
        <v>7</v>
      </c>
      <c r="G35" s="49" t="n">
        <v>8</v>
      </c>
      <c r="H35" s="49" t="n">
        <v>8</v>
      </c>
      <c r="I35" s="49" t="n">
        <v>8</v>
      </c>
      <c r="J35" s="47" t="n">
        <v>7</v>
      </c>
      <c r="K35" s="49" t="n">
        <v>8</v>
      </c>
      <c r="L35" s="49" t="n">
        <v>8</v>
      </c>
      <c r="M35" s="49" t="n">
        <v>8</v>
      </c>
      <c r="N35" s="49" t="n">
        <v>8</v>
      </c>
      <c r="O35" s="47" t="n">
        <v>7</v>
      </c>
      <c r="P35" s="47" t="n">
        <v>7</v>
      </c>
      <c r="Q35" s="47" t="n">
        <v>6</v>
      </c>
      <c r="R35" s="49" t="n">
        <v>8</v>
      </c>
      <c r="S35" s="47" t="n">
        <v>7</v>
      </c>
      <c r="T35" s="49" t="n">
        <v>10</v>
      </c>
      <c r="U35" s="49" t="n">
        <v>9</v>
      </c>
      <c r="V35" s="49" t="n">
        <v>8</v>
      </c>
      <c r="W35" s="49" t="n">
        <v>10</v>
      </c>
      <c r="X35" s="49" t="n">
        <v>9</v>
      </c>
      <c r="Y35" s="49" t="n">
        <v>9</v>
      </c>
      <c r="Z35" s="49" t="n">
        <v>8</v>
      </c>
      <c r="AA35" s="49" t="n">
        <v>9</v>
      </c>
      <c r="AB35" s="49" t="n">
        <v>10</v>
      </c>
      <c r="AC35" s="49" t="n">
        <v>10</v>
      </c>
      <c r="AD35" s="49" t="n">
        <v>10</v>
      </c>
      <c r="AE35" s="49" t="n">
        <v>9</v>
      </c>
    </row>
    <row r="36" customFormat="false" ht="15" hidden="false" customHeight="true" outlineLevel="0" collapsed="false">
      <c r="A36" s="43"/>
      <c r="B36" s="44" t="s">
        <v>625</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customFormat="false" ht="15" hidden="false" customHeight="true" outlineLevel="0" collapsed="false">
      <c r="A37" s="45" t="n">
        <v>25</v>
      </c>
      <c r="B37" s="46" t="s">
        <v>626</v>
      </c>
      <c r="C37" s="47" t="n">
        <v>7</v>
      </c>
      <c r="D37" s="49" t="n">
        <v>8</v>
      </c>
      <c r="E37" s="47" t="n">
        <v>6</v>
      </c>
      <c r="F37" s="47" t="n">
        <v>6</v>
      </c>
      <c r="G37" s="47" t="n">
        <v>5</v>
      </c>
      <c r="H37" s="47" t="n">
        <v>5</v>
      </c>
      <c r="I37" s="47" t="n">
        <v>6</v>
      </c>
      <c r="J37" s="47" t="n">
        <v>6</v>
      </c>
      <c r="K37" s="47" t="n">
        <v>5</v>
      </c>
      <c r="L37" s="48" t="n">
        <v>3</v>
      </c>
      <c r="M37" s="47" t="n">
        <v>6</v>
      </c>
      <c r="N37" s="48" t="n">
        <v>3</v>
      </c>
      <c r="O37" s="47" t="n">
        <v>6</v>
      </c>
      <c r="P37" s="47" t="n">
        <v>5</v>
      </c>
      <c r="Q37" s="49" t="n">
        <v>8</v>
      </c>
      <c r="R37" s="49" t="n">
        <v>9</v>
      </c>
      <c r="S37" s="47" t="n">
        <v>5</v>
      </c>
      <c r="T37" s="48" t="n">
        <v>3</v>
      </c>
      <c r="U37" s="47" t="n">
        <v>4</v>
      </c>
      <c r="V37" s="47" t="n">
        <v>4</v>
      </c>
      <c r="W37" s="47" t="n">
        <v>5</v>
      </c>
      <c r="X37" s="47" t="n">
        <v>4</v>
      </c>
      <c r="Y37" s="47" t="n">
        <v>4</v>
      </c>
      <c r="Z37" s="47" t="n">
        <v>4</v>
      </c>
      <c r="AA37" s="47" t="n">
        <v>4</v>
      </c>
      <c r="AB37" s="48" t="n">
        <v>3</v>
      </c>
      <c r="AC37" s="48" t="n">
        <v>3</v>
      </c>
      <c r="AD37" s="48" t="n">
        <v>3</v>
      </c>
      <c r="AE37" s="47" t="n">
        <v>4</v>
      </c>
    </row>
    <row r="38" customFormat="false" ht="15" hidden="false" customHeight="true" outlineLevel="0" collapsed="false">
      <c r="A38" s="45" t="n">
        <v>26</v>
      </c>
      <c r="B38" s="46" t="s">
        <v>627</v>
      </c>
      <c r="C38" s="49" t="n">
        <v>8</v>
      </c>
      <c r="D38" s="49" t="n">
        <v>8</v>
      </c>
      <c r="E38" s="47" t="n">
        <v>7</v>
      </c>
      <c r="F38" s="47" t="n">
        <v>7</v>
      </c>
      <c r="G38" s="47" t="n">
        <v>6</v>
      </c>
      <c r="H38" s="47" t="n">
        <v>5</v>
      </c>
      <c r="I38" s="47" t="n">
        <v>6</v>
      </c>
      <c r="J38" s="47" t="n">
        <v>4</v>
      </c>
      <c r="K38" s="47" t="n">
        <v>6</v>
      </c>
      <c r="L38" s="47" t="n">
        <v>5</v>
      </c>
      <c r="M38" s="47" t="n">
        <v>6</v>
      </c>
      <c r="N38" s="47" t="n">
        <v>4</v>
      </c>
      <c r="O38" s="47" t="n">
        <v>6</v>
      </c>
      <c r="P38" s="47" t="n">
        <v>5</v>
      </c>
      <c r="Q38" s="47" t="n">
        <v>7</v>
      </c>
      <c r="R38" s="48" t="n">
        <v>3</v>
      </c>
      <c r="S38" s="47" t="n">
        <v>4</v>
      </c>
      <c r="T38" s="48" t="n">
        <v>2</v>
      </c>
      <c r="U38" s="48" t="n">
        <v>3</v>
      </c>
      <c r="V38" s="47" t="n">
        <v>5</v>
      </c>
      <c r="W38" s="48" t="n">
        <v>2</v>
      </c>
      <c r="X38" s="48" t="n">
        <v>3</v>
      </c>
      <c r="Y38" s="48" t="n">
        <v>3</v>
      </c>
      <c r="Z38" s="48" t="n">
        <v>2</v>
      </c>
      <c r="AA38" s="48" t="n">
        <v>2</v>
      </c>
      <c r="AB38" s="48" t="n">
        <v>2</v>
      </c>
      <c r="AC38" s="48" t="n">
        <v>2</v>
      </c>
      <c r="AD38" s="48" t="n">
        <v>1</v>
      </c>
      <c r="AE38" s="48" t="n">
        <v>3</v>
      </c>
    </row>
    <row r="39" customFormat="false" ht="15" hidden="false" customHeight="true" outlineLevel="0" collapsed="false">
      <c r="A39" s="45" t="n">
        <v>27</v>
      </c>
      <c r="B39" s="46" t="s">
        <v>628</v>
      </c>
      <c r="C39" s="49" t="n">
        <v>8</v>
      </c>
      <c r="D39" s="49" t="n">
        <v>8</v>
      </c>
      <c r="E39" s="47" t="n">
        <v>6</v>
      </c>
      <c r="F39" s="47" t="n">
        <v>6</v>
      </c>
      <c r="G39" s="47" t="n">
        <v>5</v>
      </c>
      <c r="H39" s="47" t="n">
        <v>4</v>
      </c>
      <c r="I39" s="47" t="n">
        <v>5</v>
      </c>
      <c r="J39" s="47" t="n">
        <v>4</v>
      </c>
      <c r="K39" s="47" t="n">
        <v>5</v>
      </c>
      <c r="L39" s="48" t="n">
        <v>3</v>
      </c>
      <c r="M39" s="47" t="n">
        <v>5</v>
      </c>
      <c r="N39" s="48" t="n">
        <v>2</v>
      </c>
      <c r="O39" s="47" t="n">
        <v>5</v>
      </c>
      <c r="P39" s="47" t="n">
        <v>4</v>
      </c>
      <c r="Q39" s="47" t="n">
        <v>5</v>
      </c>
      <c r="R39" s="47" t="n">
        <v>6</v>
      </c>
      <c r="S39" s="48" t="n">
        <v>3</v>
      </c>
      <c r="T39" s="48" t="n">
        <v>1</v>
      </c>
      <c r="U39" s="48" t="n">
        <v>2</v>
      </c>
      <c r="V39" s="47" t="n">
        <v>4</v>
      </c>
      <c r="W39" s="48" t="n">
        <v>3</v>
      </c>
      <c r="X39" s="48" t="n">
        <v>2</v>
      </c>
      <c r="Y39" s="48" t="n">
        <v>3</v>
      </c>
      <c r="Z39" s="48" t="n">
        <v>2</v>
      </c>
      <c r="AA39" s="48" t="n">
        <v>3</v>
      </c>
      <c r="AB39" s="48" t="n">
        <v>1</v>
      </c>
      <c r="AC39" s="48" t="n">
        <v>2</v>
      </c>
      <c r="AD39" s="48" t="n">
        <v>2</v>
      </c>
      <c r="AE39" s="48" t="n">
        <v>1</v>
      </c>
    </row>
    <row r="40" customFormat="false" ht="15" hidden="false" customHeight="true" outlineLevel="0" collapsed="false">
      <c r="A40" s="45" t="n">
        <v>28</v>
      </c>
      <c r="B40" s="46" t="s">
        <v>629</v>
      </c>
      <c r="C40" s="47" t="n">
        <v>5</v>
      </c>
      <c r="D40" s="49" t="n">
        <v>8</v>
      </c>
      <c r="E40" s="48" t="n">
        <v>3</v>
      </c>
      <c r="F40" s="48" t="n">
        <v>3</v>
      </c>
      <c r="G40" s="48" t="n">
        <v>3</v>
      </c>
      <c r="H40" s="48" t="n">
        <v>3</v>
      </c>
      <c r="I40" s="48" t="n">
        <v>3</v>
      </c>
      <c r="J40" s="47" t="n">
        <v>6</v>
      </c>
      <c r="K40" s="48" t="n">
        <v>3</v>
      </c>
      <c r="L40" s="48" t="n">
        <v>2</v>
      </c>
      <c r="M40" s="47" t="n">
        <v>4</v>
      </c>
      <c r="N40" s="48" t="n">
        <v>2</v>
      </c>
      <c r="O40" s="47" t="n">
        <v>4</v>
      </c>
      <c r="P40" s="48" t="n">
        <v>3</v>
      </c>
      <c r="Q40" s="49" t="n">
        <v>9</v>
      </c>
      <c r="R40" s="49" t="n">
        <v>9</v>
      </c>
      <c r="S40" s="47" t="n">
        <v>6</v>
      </c>
      <c r="T40" s="48" t="n">
        <v>2</v>
      </c>
      <c r="U40" s="48" t="n">
        <v>3</v>
      </c>
      <c r="V40" s="48" t="n">
        <v>3</v>
      </c>
      <c r="W40" s="48" t="n">
        <v>3</v>
      </c>
      <c r="X40" s="48" t="n">
        <v>3</v>
      </c>
      <c r="Y40" s="48" t="n">
        <v>3</v>
      </c>
      <c r="Z40" s="47" t="n">
        <v>7</v>
      </c>
      <c r="AA40" s="47" t="n">
        <v>6</v>
      </c>
      <c r="AB40" s="48" t="n">
        <v>2</v>
      </c>
      <c r="AC40" s="48" t="n">
        <v>3</v>
      </c>
      <c r="AD40" s="48" t="n">
        <v>3</v>
      </c>
      <c r="AE40" s="47" t="n">
        <v>4</v>
      </c>
    </row>
    <row r="42" customFormat="false" ht="15" hidden="false" customHeight="true" outlineLevel="0" collapsed="false">
      <c r="A42" s="50" t="s">
        <v>630</v>
      </c>
      <c r="B42" s="50"/>
      <c r="C42" s="50"/>
      <c r="D42" s="50"/>
      <c r="E42" s="50"/>
      <c r="F42" s="50"/>
      <c r="G42" s="50"/>
      <c r="H42" s="50"/>
      <c r="I42" s="50"/>
      <c r="J42" s="50"/>
    </row>
    <row r="43" customFormat="false" ht="39" hidden="false" customHeight="true" outlineLevel="0" collapsed="false">
      <c r="A43" s="40" t="s">
        <v>0</v>
      </c>
      <c r="B43" s="41" t="s">
        <v>1</v>
      </c>
      <c r="C43" s="42" t="s">
        <v>631</v>
      </c>
      <c r="D43" s="42" t="s">
        <v>632</v>
      </c>
      <c r="E43" s="42" t="s">
        <v>633</v>
      </c>
      <c r="F43" s="42" t="s">
        <v>634</v>
      </c>
      <c r="G43" s="42" t="s">
        <v>635</v>
      </c>
      <c r="H43" s="42" t="s">
        <v>636</v>
      </c>
      <c r="I43" s="42" t="s">
        <v>637</v>
      </c>
    </row>
    <row r="44" customFormat="false" ht="15" hidden="false" customHeight="true" outlineLevel="0" collapsed="false">
      <c r="A44" s="43"/>
      <c r="B44" s="44" t="s">
        <v>595</v>
      </c>
      <c r="C44" s="43"/>
      <c r="D44" s="43"/>
      <c r="E44" s="43"/>
      <c r="F44" s="43"/>
      <c r="G44" s="43"/>
      <c r="H44" s="43"/>
      <c r="I44" s="43"/>
      <c r="J44" s="43"/>
    </row>
    <row r="45" customFormat="false" ht="15" hidden="false" customHeight="true" outlineLevel="0" collapsed="false">
      <c r="A45" s="45" t="n">
        <v>1</v>
      </c>
      <c r="B45" s="46" t="s">
        <v>596</v>
      </c>
      <c r="C45" s="49" t="n">
        <v>10</v>
      </c>
      <c r="D45" s="49" t="n">
        <v>10</v>
      </c>
      <c r="E45" s="49" t="n">
        <v>10</v>
      </c>
      <c r="F45" s="49" t="n">
        <v>10</v>
      </c>
      <c r="G45" s="49" t="n">
        <v>10</v>
      </c>
      <c r="H45" s="49" t="n">
        <v>10</v>
      </c>
      <c r="I45" s="47" t="n">
        <v>5</v>
      </c>
    </row>
    <row r="46" customFormat="false" ht="15" hidden="false" customHeight="true" outlineLevel="0" collapsed="false">
      <c r="A46" s="45" t="n">
        <v>2</v>
      </c>
      <c r="B46" s="46" t="s">
        <v>597</v>
      </c>
      <c r="C46" s="47" t="n">
        <v>4</v>
      </c>
      <c r="D46" s="47" t="n">
        <v>4</v>
      </c>
      <c r="E46" s="47" t="n">
        <v>4</v>
      </c>
      <c r="F46" s="49" t="n">
        <v>9</v>
      </c>
      <c r="G46" s="47" t="n">
        <v>5</v>
      </c>
      <c r="H46" s="48" t="n">
        <v>3</v>
      </c>
      <c r="I46" s="47" t="n">
        <v>7</v>
      </c>
    </row>
    <row r="47" customFormat="false" ht="15" hidden="false" customHeight="true" outlineLevel="0" collapsed="false">
      <c r="A47" s="45" t="n">
        <v>3</v>
      </c>
      <c r="B47" s="46" t="s">
        <v>598</v>
      </c>
      <c r="C47" s="47" t="n">
        <v>6</v>
      </c>
      <c r="D47" s="47" t="n">
        <v>6</v>
      </c>
      <c r="E47" s="47" t="n">
        <v>6</v>
      </c>
      <c r="F47" s="49" t="n">
        <v>8</v>
      </c>
      <c r="G47" s="47" t="n">
        <v>5</v>
      </c>
      <c r="H47" s="48" t="n">
        <v>2</v>
      </c>
      <c r="I47" s="48" t="n">
        <v>2</v>
      </c>
    </row>
    <row r="48" customFormat="false" ht="15" hidden="false" customHeight="true" outlineLevel="0" collapsed="false">
      <c r="A48" s="43"/>
      <c r="B48" s="44" t="s">
        <v>599</v>
      </c>
      <c r="C48" s="43"/>
      <c r="D48" s="43"/>
      <c r="E48" s="43"/>
      <c r="F48" s="43"/>
      <c r="G48" s="43"/>
      <c r="H48" s="43"/>
      <c r="I48" s="43"/>
      <c r="J48" s="43"/>
    </row>
    <row r="49" customFormat="false" ht="15" hidden="false" customHeight="true" outlineLevel="0" collapsed="false">
      <c r="A49" s="45" t="n">
        <v>4</v>
      </c>
      <c r="B49" s="46" t="s">
        <v>600</v>
      </c>
      <c r="C49" s="48" t="n">
        <v>2.9</v>
      </c>
      <c r="D49" s="48" t="n">
        <v>2.6</v>
      </c>
      <c r="E49" s="47" t="n">
        <v>3.5</v>
      </c>
      <c r="F49" s="48" t="n">
        <v>1.8</v>
      </c>
      <c r="G49" s="48" t="n">
        <v>2.9</v>
      </c>
      <c r="H49" s="48" t="n">
        <v>2.6</v>
      </c>
      <c r="I49" s="47" t="n">
        <v>5.4</v>
      </c>
    </row>
    <row r="50" customFormat="false" ht="15" hidden="false" customHeight="true" outlineLevel="0" collapsed="false">
      <c r="A50" s="45" t="n">
        <v>5</v>
      </c>
      <c r="B50" s="46" t="s">
        <v>601</v>
      </c>
      <c r="C50" s="47" t="n">
        <v>3.5</v>
      </c>
      <c r="D50" s="47" t="n">
        <v>3.2</v>
      </c>
      <c r="E50" s="47" t="n">
        <v>4</v>
      </c>
      <c r="F50" s="48" t="n">
        <v>2.1</v>
      </c>
      <c r="G50" s="47" t="n">
        <v>3.2</v>
      </c>
      <c r="H50" s="47" t="n">
        <v>4</v>
      </c>
      <c r="I50" s="47" t="n">
        <v>5.8</v>
      </c>
    </row>
    <row r="51" customFormat="false" ht="15" hidden="false" customHeight="true" outlineLevel="0" collapsed="false">
      <c r="A51" s="45" t="n">
        <v>6</v>
      </c>
      <c r="B51" s="46" t="s">
        <v>602</v>
      </c>
      <c r="C51" s="47" t="n">
        <v>3.7</v>
      </c>
      <c r="D51" s="47" t="n">
        <v>3.2</v>
      </c>
      <c r="E51" s="47" t="n">
        <v>4.2</v>
      </c>
      <c r="F51" s="48" t="n">
        <v>2.8</v>
      </c>
      <c r="G51" s="47" t="n">
        <v>3.2</v>
      </c>
      <c r="H51" s="47" t="n">
        <v>4.6</v>
      </c>
      <c r="I51" s="47" t="n">
        <v>6</v>
      </c>
    </row>
    <row r="52" customFormat="false" ht="15" hidden="false" customHeight="true" outlineLevel="0" collapsed="false">
      <c r="A52" s="45" t="n">
        <v>7</v>
      </c>
      <c r="B52" s="46" t="s">
        <v>603</v>
      </c>
      <c r="C52" s="47" t="n">
        <v>7</v>
      </c>
      <c r="D52" s="47" t="n">
        <v>7</v>
      </c>
      <c r="E52" s="47" t="n">
        <v>7</v>
      </c>
      <c r="F52" s="47" t="n">
        <v>7</v>
      </c>
      <c r="G52" s="47" t="n">
        <v>6</v>
      </c>
      <c r="H52" s="47" t="n">
        <v>7</v>
      </c>
      <c r="I52" s="48" t="n">
        <v>3</v>
      </c>
    </row>
    <row r="53" customFormat="false" ht="15" hidden="false" customHeight="true" outlineLevel="0" collapsed="false">
      <c r="A53" s="43"/>
      <c r="B53" s="44" t="s">
        <v>604</v>
      </c>
      <c r="C53" s="43"/>
      <c r="D53" s="43"/>
      <c r="E53" s="43"/>
      <c r="F53" s="43"/>
      <c r="G53" s="43"/>
      <c r="H53" s="43"/>
      <c r="I53" s="43"/>
      <c r="J53" s="43"/>
    </row>
    <row r="54" customFormat="false" ht="15" hidden="false" customHeight="true" outlineLevel="0" collapsed="false">
      <c r="A54" s="45" t="n">
        <v>8</v>
      </c>
      <c r="B54" s="46" t="s">
        <v>605</v>
      </c>
      <c r="C54" s="49" t="n">
        <v>8</v>
      </c>
      <c r="D54" s="47" t="n">
        <v>7</v>
      </c>
      <c r="E54" s="49" t="n">
        <v>9</v>
      </c>
      <c r="F54" s="47" t="n">
        <v>6</v>
      </c>
      <c r="G54" s="47" t="n">
        <v>7</v>
      </c>
      <c r="H54" s="47" t="n">
        <v>5</v>
      </c>
      <c r="I54" s="49" t="n">
        <v>9</v>
      </c>
    </row>
    <row r="55" customFormat="false" ht="15" hidden="false" customHeight="true" outlineLevel="0" collapsed="false">
      <c r="A55" s="45" t="n">
        <v>9</v>
      </c>
      <c r="B55" s="46" t="s">
        <v>606</v>
      </c>
      <c r="C55" s="49" t="n">
        <v>9</v>
      </c>
      <c r="D55" s="49" t="n">
        <v>10</v>
      </c>
      <c r="E55" s="49" t="n">
        <v>9</v>
      </c>
      <c r="F55" s="49" t="n">
        <v>10</v>
      </c>
      <c r="G55" s="49" t="n">
        <v>9</v>
      </c>
      <c r="H55" s="49" t="n">
        <v>10</v>
      </c>
      <c r="I55" s="48" t="n">
        <v>2</v>
      </c>
    </row>
    <row r="56" customFormat="false" ht="15" hidden="false" customHeight="true" outlineLevel="0" collapsed="false">
      <c r="A56" s="45" t="n">
        <v>10</v>
      </c>
      <c r="B56" s="46" t="s">
        <v>607</v>
      </c>
      <c r="C56" s="47" t="n">
        <v>5</v>
      </c>
      <c r="D56" s="47" t="n">
        <v>5</v>
      </c>
      <c r="E56" s="47" t="n">
        <v>6</v>
      </c>
      <c r="F56" s="47" t="n">
        <v>4</v>
      </c>
      <c r="G56" s="47" t="n">
        <v>5</v>
      </c>
      <c r="H56" s="47" t="n">
        <v>5</v>
      </c>
      <c r="I56" s="47" t="n">
        <v>4</v>
      </c>
    </row>
    <row r="57" customFormat="false" ht="15" hidden="false" customHeight="true" outlineLevel="0" collapsed="false">
      <c r="A57" s="43"/>
      <c r="B57" s="44" t="s">
        <v>608</v>
      </c>
      <c r="C57" s="43"/>
      <c r="D57" s="43"/>
      <c r="E57" s="43"/>
      <c r="F57" s="43"/>
      <c r="G57" s="43"/>
      <c r="H57" s="43"/>
      <c r="I57" s="43"/>
      <c r="J57" s="43"/>
    </row>
    <row r="58" customFormat="false" ht="15" hidden="false" customHeight="true" outlineLevel="0" collapsed="false">
      <c r="A58" s="45" t="n">
        <v>11</v>
      </c>
      <c r="B58" s="46" t="s">
        <v>609</v>
      </c>
      <c r="C58" s="49" t="n">
        <v>9.4</v>
      </c>
      <c r="D58" s="49" t="n">
        <v>8.8</v>
      </c>
      <c r="E58" s="49" t="n">
        <v>9.4</v>
      </c>
      <c r="F58" s="49" t="n">
        <v>10</v>
      </c>
      <c r="G58" s="49" t="n">
        <v>8.8</v>
      </c>
      <c r="H58" s="49" t="n">
        <v>9.4</v>
      </c>
      <c r="I58" s="47" t="n">
        <v>4.1</v>
      </c>
    </row>
    <row r="59" customFormat="false" ht="15" hidden="false" customHeight="true" outlineLevel="0" collapsed="false">
      <c r="A59" s="45" t="n">
        <v>12</v>
      </c>
      <c r="B59" s="46" t="s">
        <v>610</v>
      </c>
      <c r="C59" s="49" t="n">
        <v>9.6</v>
      </c>
      <c r="D59" s="49" t="n">
        <v>10</v>
      </c>
      <c r="E59" s="49" t="n">
        <v>8.9</v>
      </c>
      <c r="F59" s="47" t="n">
        <v>7.8</v>
      </c>
      <c r="G59" s="47" t="n">
        <v>7.8</v>
      </c>
      <c r="H59" s="49" t="n">
        <v>10</v>
      </c>
      <c r="I59" s="47" t="n">
        <v>6</v>
      </c>
    </row>
    <row r="60" customFormat="false" ht="15" hidden="false" customHeight="true" outlineLevel="0" collapsed="false">
      <c r="A60" s="45" t="n">
        <v>13</v>
      </c>
      <c r="B60" s="46" t="s">
        <v>611</v>
      </c>
      <c r="C60" s="49" t="n">
        <v>8</v>
      </c>
      <c r="D60" s="49" t="n">
        <v>8</v>
      </c>
      <c r="E60" s="49" t="n">
        <v>8</v>
      </c>
      <c r="F60" s="49" t="n">
        <v>8</v>
      </c>
      <c r="G60" s="47" t="n">
        <v>7</v>
      </c>
      <c r="H60" s="49" t="n">
        <v>8</v>
      </c>
      <c r="I60" s="48" t="n">
        <v>3</v>
      </c>
    </row>
    <row r="61" customFormat="false" ht="15" hidden="false" customHeight="true" outlineLevel="0" collapsed="false">
      <c r="A61" s="45" t="n">
        <v>14</v>
      </c>
      <c r="B61" s="46" t="s">
        <v>612</v>
      </c>
      <c r="C61" s="49" t="n">
        <v>8</v>
      </c>
      <c r="D61" s="49" t="n">
        <v>8</v>
      </c>
      <c r="E61" s="47" t="n">
        <v>7</v>
      </c>
      <c r="F61" s="49" t="n">
        <v>8</v>
      </c>
      <c r="G61" s="47" t="n">
        <v>7</v>
      </c>
      <c r="H61" s="49" t="n">
        <v>9</v>
      </c>
      <c r="I61" s="47" t="n">
        <v>5</v>
      </c>
    </row>
    <row r="62" customFormat="false" ht="15" hidden="false" customHeight="true" outlineLevel="0" collapsed="false">
      <c r="A62" s="45" t="n">
        <v>15</v>
      </c>
      <c r="B62" s="46" t="s">
        <v>613</v>
      </c>
      <c r="C62" s="47" t="n">
        <v>6</v>
      </c>
      <c r="D62" s="47" t="n">
        <v>7</v>
      </c>
      <c r="E62" s="47" t="n">
        <v>5</v>
      </c>
      <c r="F62" s="47" t="n">
        <v>7</v>
      </c>
      <c r="G62" s="47" t="n">
        <v>6</v>
      </c>
      <c r="H62" s="49" t="n">
        <v>8</v>
      </c>
      <c r="I62" s="48" t="n">
        <v>3</v>
      </c>
    </row>
    <row r="63" customFormat="false" ht="15" hidden="false" customHeight="true" outlineLevel="0" collapsed="false">
      <c r="A63" s="45" t="n">
        <v>16</v>
      </c>
      <c r="B63" s="46" t="s">
        <v>614</v>
      </c>
      <c r="C63" s="49" t="n">
        <v>9.5</v>
      </c>
      <c r="D63" s="49" t="n">
        <v>9.7</v>
      </c>
      <c r="E63" s="49" t="n">
        <v>9.3</v>
      </c>
      <c r="F63" s="49" t="n">
        <v>9.8</v>
      </c>
      <c r="G63" s="49" t="n">
        <v>9.3</v>
      </c>
      <c r="H63" s="49" t="n">
        <v>9.8</v>
      </c>
      <c r="I63" s="47" t="n">
        <v>6.2</v>
      </c>
    </row>
    <row r="64" customFormat="false" ht="15" hidden="false" customHeight="true" outlineLevel="0" collapsed="false">
      <c r="A64" s="45" t="n">
        <v>17</v>
      </c>
      <c r="B64" s="46" t="s">
        <v>615</v>
      </c>
      <c r="C64" s="49" t="n">
        <v>8</v>
      </c>
      <c r="D64" s="47" t="n">
        <v>7</v>
      </c>
      <c r="E64" s="49" t="n">
        <v>8</v>
      </c>
      <c r="F64" s="49" t="n">
        <v>9</v>
      </c>
      <c r="G64" s="49" t="n">
        <v>8</v>
      </c>
      <c r="H64" s="47" t="n">
        <v>7</v>
      </c>
      <c r="I64" s="47" t="n">
        <v>7</v>
      </c>
    </row>
    <row r="65" customFormat="false" ht="15" hidden="false" customHeight="true" outlineLevel="0" collapsed="false">
      <c r="A65" s="43"/>
      <c r="B65" s="44" t="s">
        <v>616</v>
      </c>
      <c r="C65" s="43"/>
      <c r="D65" s="43"/>
      <c r="E65" s="43"/>
      <c r="F65" s="43"/>
      <c r="G65" s="43"/>
      <c r="H65" s="43"/>
      <c r="I65" s="43"/>
      <c r="J65" s="43"/>
    </row>
    <row r="66" customFormat="false" ht="15" hidden="false" customHeight="true" outlineLevel="0" collapsed="false">
      <c r="A66" s="45" t="n">
        <v>18</v>
      </c>
      <c r="B66" s="46" t="s">
        <v>617</v>
      </c>
      <c r="C66" s="49" t="n">
        <v>8</v>
      </c>
      <c r="D66" s="47" t="n">
        <v>7</v>
      </c>
      <c r="E66" s="49" t="n">
        <v>8</v>
      </c>
      <c r="F66" s="47" t="n">
        <v>7</v>
      </c>
      <c r="G66" s="49" t="n">
        <v>8</v>
      </c>
      <c r="H66" s="47" t="n">
        <v>5</v>
      </c>
      <c r="I66" s="49" t="n">
        <v>9</v>
      </c>
    </row>
    <row r="67" customFormat="false" ht="15" hidden="false" customHeight="true" outlineLevel="0" collapsed="false">
      <c r="A67" s="45" t="n">
        <v>19</v>
      </c>
      <c r="B67" s="46" t="s">
        <v>618</v>
      </c>
      <c r="C67" s="49" t="n">
        <v>9</v>
      </c>
      <c r="D67" s="49" t="n">
        <v>9</v>
      </c>
      <c r="E67" s="49" t="n">
        <v>9</v>
      </c>
      <c r="F67" s="49" t="n">
        <v>8</v>
      </c>
      <c r="G67" s="49" t="n">
        <v>8</v>
      </c>
      <c r="H67" s="47" t="n">
        <v>6</v>
      </c>
      <c r="I67" s="49" t="n">
        <v>10</v>
      </c>
    </row>
    <row r="68" customFormat="false" ht="15" hidden="false" customHeight="true" outlineLevel="0" collapsed="false">
      <c r="A68" s="43"/>
      <c r="B68" s="44" t="s">
        <v>619</v>
      </c>
      <c r="C68" s="43"/>
      <c r="D68" s="43"/>
      <c r="E68" s="43"/>
      <c r="F68" s="43"/>
      <c r="G68" s="43"/>
      <c r="H68" s="43"/>
      <c r="I68" s="43"/>
      <c r="J68" s="43"/>
    </row>
    <row r="69" customFormat="false" ht="15" hidden="false" customHeight="true" outlineLevel="0" collapsed="false">
      <c r="A69" s="45" t="n">
        <v>20</v>
      </c>
      <c r="B69" s="46" t="s">
        <v>620</v>
      </c>
      <c r="C69" s="47" t="n">
        <v>7.4</v>
      </c>
      <c r="D69" s="47" t="n">
        <v>6.9</v>
      </c>
      <c r="E69" s="47" t="n">
        <v>6.9</v>
      </c>
      <c r="F69" s="47" t="n">
        <v>5.4</v>
      </c>
      <c r="G69" s="47" t="n">
        <v>6.9</v>
      </c>
      <c r="H69" s="49" t="n">
        <v>8.7</v>
      </c>
      <c r="I69" s="47" t="n">
        <v>7.4</v>
      </c>
    </row>
    <row r="70" customFormat="false" ht="15" hidden="false" customHeight="true" outlineLevel="0" collapsed="false">
      <c r="A70" s="45" t="n">
        <v>21</v>
      </c>
      <c r="B70" s="46" t="s">
        <v>621</v>
      </c>
      <c r="C70" s="47" t="n">
        <v>7.5</v>
      </c>
      <c r="D70" s="47" t="n">
        <v>7.1</v>
      </c>
      <c r="E70" s="47" t="n">
        <v>7.1</v>
      </c>
      <c r="F70" s="47" t="n">
        <v>5.5</v>
      </c>
      <c r="G70" s="47" t="n">
        <v>6.8</v>
      </c>
      <c r="H70" s="49" t="n">
        <v>8.9</v>
      </c>
      <c r="I70" s="47" t="n">
        <v>7.3</v>
      </c>
    </row>
    <row r="71" customFormat="false" ht="15" hidden="false" customHeight="true" outlineLevel="0" collapsed="false">
      <c r="A71" s="45" t="n">
        <v>22</v>
      </c>
      <c r="B71" s="46" t="s">
        <v>622</v>
      </c>
      <c r="C71" s="47" t="n">
        <v>6</v>
      </c>
      <c r="D71" s="47" t="n">
        <v>7</v>
      </c>
      <c r="E71" s="47" t="n">
        <v>5</v>
      </c>
      <c r="F71" s="47" t="n">
        <v>5</v>
      </c>
      <c r="G71" s="47" t="n">
        <v>5</v>
      </c>
      <c r="H71" s="47" t="n">
        <v>5</v>
      </c>
      <c r="I71" s="49" t="n">
        <v>8</v>
      </c>
    </row>
    <row r="72" customFormat="false" ht="15" hidden="false" customHeight="true" outlineLevel="0" collapsed="false">
      <c r="A72" s="45" t="n">
        <v>23</v>
      </c>
      <c r="B72" s="46" t="s">
        <v>623</v>
      </c>
      <c r="C72" s="47" t="n">
        <v>5</v>
      </c>
      <c r="D72" s="47" t="n">
        <v>6</v>
      </c>
      <c r="E72" s="48" t="n">
        <v>3</v>
      </c>
      <c r="F72" s="47" t="n">
        <v>6</v>
      </c>
      <c r="G72" s="47" t="n">
        <v>5</v>
      </c>
      <c r="H72" s="48" t="n">
        <v>3</v>
      </c>
      <c r="I72" s="49" t="n">
        <v>9</v>
      </c>
    </row>
    <row r="73" customFormat="false" ht="15" hidden="false" customHeight="true" outlineLevel="0" collapsed="false">
      <c r="A73" s="45" t="n">
        <v>24</v>
      </c>
      <c r="B73" s="46" t="s">
        <v>624</v>
      </c>
      <c r="C73" s="47" t="n">
        <v>6</v>
      </c>
      <c r="D73" s="47" t="n">
        <v>7</v>
      </c>
      <c r="E73" s="47" t="n">
        <v>6</v>
      </c>
      <c r="F73" s="47" t="n">
        <v>6</v>
      </c>
      <c r="G73" s="49" t="n">
        <v>8</v>
      </c>
      <c r="H73" s="47" t="n">
        <v>6</v>
      </c>
      <c r="I73" s="49" t="n">
        <v>9</v>
      </c>
    </row>
    <row r="74" customFormat="false" ht="15" hidden="false" customHeight="true" outlineLevel="0" collapsed="false">
      <c r="A74" s="43"/>
      <c r="B74" s="44" t="s">
        <v>625</v>
      </c>
      <c r="C74" s="43"/>
      <c r="D74" s="43"/>
      <c r="E74" s="43"/>
      <c r="F74" s="43"/>
      <c r="G74" s="43"/>
      <c r="H74" s="43"/>
      <c r="I74" s="43"/>
      <c r="J74" s="43"/>
    </row>
    <row r="75" customFormat="false" ht="15" hidden="false" customHeight="true" outlineLevel="0" collapsed="false">
      <c r="A75" s="45" t="n">
        <v>25</v>
      </c>
      <c r="B75" s="46" t="s">
        <v>626</v>
      </c>
      <c r="C75" s="47" t="n">
        <v>5</v>
      </c>
      <c r="D75" s="47" t="n">
        <v>5</v>
      </c>
      <c r="E75" s="47" t="n">
        <v>4</v>
      </c>
      <c r="F75" s="47" t="n">
        <v>4</v>
      </c>
      <c r="G75" s="47" t="n">
        <v>5</v>
      </c>
      <c r="H75" s="47" t="n">
        <v>6</v>
      </c>
      <c r="I75" s="47" t="n">
        <v>4</v>
      </c>
    </row>
    <row r="76" customFormat="false" ht="15" hidden="false" customHeight="true" outlineLevel="0" collapsed="false">
      <c r="A76" s="45" t="n">
        <v>26</v>
      </c>
      <c r="B76" s="46" t="s">
        <v>627</v>
      </c>
      <c r="C76" s="47" t="n">
        <v>7</v>
      </c>
      <c r="D76" s="49" t="n">
        <v>8</v>
      </c>
      <c r="E76" s="47" t="n">
        <v>7</v>
      </c>
      <c r="F76" s="47" t="n">
        <v>6</v>
      </c>
      <c r="G76" s="47" t="n">
        <v>5</v>
      </c>
      <c r="H76" s="49" t="n">
        <v>8</v>
      </c>
      <c r="I76" s="47" t="n">
        <v>4</v>
      </c>
    </row>
    <row r="77" customFormat="false" ht="15" hidden="false" customHeight="true" outlineLevel="0" collapsed="false">
      <c r="A77" s="45" t="n">
        <v>27</v>
      </c>
      <c r="B77" s="46" t="s">
        <v>628</v>
      </c>
      <c r="C77" s="47" t="n">
        <v>6</v>
      </c>
      <c r="D77" s="47" t="n">
        <v>7</v>
      </c>
      <c r="E77" s="47" t="n">
        <v>5</v>
      </c>
      <c r="F77" s="47" t="n">
        <v>7</v>
      </c>
      <c r="G77" s="47" t="n">
        <v>6</v>
      </c>
      <c r="H77" s="49" t="n">
        <v>8</v>
      </c>
      <c r="I77" s="48" t="n">
        <v>3</v>
      </c>
    </row>
    <row r="78" customFormat="false" ht="15" hidden="false" customHeight="true" outlineLevel="0" collapsed="false">
      <c r="A78" s="45" t="n">
        <v>28</v>
      </c>
      <c r="B78" s="46" t="s">
        <v>629</v>
      </c>
      <c r="C78" s="48" t="n">
        <v>3</v>
      </c>
      <c r="D78" s="48" t="n">
        <v>3</v>
      </c>
      <c r="E78" s="48" t="n">
        <v>3</v>
      </c>
      <c r="F78" s="47" t="n">
        <v>4</v>
      </c>
      <c r="G78" s="47" t="n">
        <v>5</v>
      </c>
      <c r="H78" s="47" t="n">
        <v>5</v>
      </c>
      <c r="I78" s="48" t="n">
        <v>3</v>
      </c>
    </row>
    <row r="80" customFormat="false" ht="15" hidden="false" customHeight="true" outlineLevel="0" collapsed="false">
      <c r="A80" s="51" t="s">
        <v>638</v>
      </c>
      <c r="B80" s="51"/>
      <c r="C80" s="51"/>
      <c r="D80" s="51"/>
      <c r="E80" s="51"/>
      <c r="F80" s="51"/>
    </row>
    <row r="81" customFormat="false" ht="39" hidden="false" customHeight="true" outlineLevel="0" collapsed="false">
      <c r="A81" s="40" t="s">
        <v>0</v>
      </c>
      <c r="B81" s="41" t="s">
        <v>1</v>
      </c>
      <c r="C81" s="42" t="s">
        <v>639</v>
      </c>
      <c r="D81" s="42" t="s">
        <v>640</v>
      </c>
      <c r="E81" s="42" t="s">
        <v>641</v>
      </c>
    </row>
    <row r="82" customFormat="false" ht="15" hidden="false" customHeight="true" outlineLevel="0" collapsed="false">
      <c r="A82" s="43"/>
      <c r="B82" s="44" t="s">
        <v>595</v>
      </c>
      <c r="C82" s="43"/>
      <c r="D82" s="43"/>
      <c r="E82" s="43"/>
      <c r="F82" s="43"/>
    </row>
    <row r="83" customFormat="false" ht="15" hidden="false" customHeight="true" outlineLevel="0" collapsed="false">
      <c r="A83" s="45" t="n">
        <v>1</v>
      </c>
      <c r="B83" s="46" t="s">
        <v>596</v>
      </c>
      <c r="C83" s="47" t="n">
        <v>7</v>
      </c>
      <c r="D83" s="47" t="n">
        <v>7</v>
      </c>
      <c r="E83" s="47" t="n">
        <v>7</v>
      </c>
    </row>
    <row r="84" customFormat="false" ht="15" hidden="false" customHeight="true" outlineLevel="0" collapsed="false">
      <c r="A84" s="45" t="n">
        <v>2</v>
      </c>
      <c r="B84" s="46" t="s">
        <v>597</v>
      </c>
      <c r="C84" s="47" t="n">
        <v>7</v>
      </c>
      <c r="D84" s="47" t="n">
        <v>7</v>
      </c>
      <c r="E84" s="49" t="n">
        <v>9</v>
      </c>
    </row>
    <row r="85" customFormat="false" ht="15" hidden="false" customHeight="true" outlineLevel="0" collapsed="false">
      <c r="A85" s="45" t="n">
        <v>3</v>
      </c>
      <c r="B85" s="46" t="s">
        <v>598</v>
      </c>
      <c r="C85" s="47" t="n">
        <v>7</v>
      </c>
      <c r="D85" s="49" t="n">
        <v>8</v>
      </c>
      <c r="E85" s="49" t="n">
        <v>8</v>
      </c>
    </row>
    <row r="86" customFormat="false" ht="15" hidden="false" customHeight="true" outlineLevel="0" collapsed="false">
      <c r="A86" s="43"/>
      <c r="B86" s="44" t="s">
        <v>599</v>
      </c>
      <c r="C86" s="43"/>
      <c r="D86" s="43"/>
      <c r="E86" s="43"/>
      <c r="F86" s="43"/>
    </row>
    <row r="87" customFormat="false" ht="15" hidden="false" customHeight="true" outlineLevel="0" collapsed="false">
      <c r="A87" s="45" t="n">
        <v>4</v>
      </c>
      <c r="B87" s="46" t="s">
        <v>600</v>
      </c>
      <c r="C87" s="48" t="n">
        <v>2.9</v>
      </c>
      <c r="D87" s="48" t="n">
        <v>1.8</v>
      </c>
      <c r="E87" s="48" t="n">
        <v>2.6</v>
      </c>
    </row>
    <row r="88" customFormat="false" ht="15" hidden="false" customHeight="true" outlineLevel="0" collapsed="false">
      <c r="A88" s="45" t="n">
        <v>5</v>
      </c>
      <c r="B88" s="46" t="s">
        <v>601</v>
      </c>
      <c r="C88" s="47" t="n">
        <v>3.5</v>
      </c>
      <c r="D88" s="48" t="n">
        <v>2.1</v>
      </c>
      <c r="E88" s="48" t="n">
        <v>3</v>
      </c>
    </row>
    <row r="89" customFormat="false" ht="15" hidden="false" customHeight="true" outlineLevel="0" collapsed="false">
      <c r="A89" s="45" t="n">
        <v>6</v>
      </c>
      <c r="B89" s="46" t="s">
        <v>602</v>
      </c>
      <c r="C89" s="47" t="n">
        <v>3.7</v>
      </c>
      <c r="D89" s="48" t="n">
        <v>2.4</v>
      </c>
      <c r="E89" s="48" t="n">
        <v>2.8</v>
      </c>
    </row>
    <row r="90" customFormat="false" ht="15" hidden="false" customHeight="true" outlineLevel="0" collapsed="false">
      <c r="A90" s="45" t="n">
        <v>7</v>
      </c>
      <c r="B90" s="46" t="s">
        <v>603</v>
      </c>
      <c r="C90" s="47" t="n">
        <v>4</v>
      </c>
      <c r="D90" s="47" t="n">
        <v>6</v>
      </c>
      <c r="E90" s="47" t="n">
        <v>5</v>
      </c>
    </row>
    <row r="91" customFormat="false" ht="15" hidden="false" customHeight="true" outlineLevel="0" collapsed="false">
      <c r="A91" s="43"/>
      <c r="B91" s="44" t="s">
        <v>604</v>
      </c>
      <c r="C91" s="43"/>
      <c r="D91" s="43"/>
      <c r="E91" s="43"/>
      <c r="F91" s="43"/>
    </row>
    <row r="92" customFormat="false" ht="15" hidden="false" customHeight="true" outlineLevel="0" collapsed="false">
      <c r="A92" s="45" t="n">
        <v>8</v>
      </c>
      <c r="B92" s="46" t="s">
        <v>605</v>
      </c>
      <c r="C92" s="49" t="n">
        <v>8</v>
      </c>
      <c r="D92" s="48" t="n">
        <v>3</v>
      </c>
      <c r="E92" s="47" t="n">
        <v>6</v>
      </c>
    </row>
    <row r="93" customFormat="false" ht="15" hidden="false" customHeight="true" outlineLevel="0" collapsed="false">
      <c r="A93" s="45" t="n">
        <v>9</v>
      </c>
      <c r="B93" s="46" t="s">
        <v>606</v>
      </c>
      <c r="C93" s="47" t="n">
        <v>5</v>
      </c>
      <c r="D93" s="49" t="n">
        <v>9</v>
      </c>
      <c r="E93" s="47" t="n">
        <v>6</v>
      </c>
    </row>
    <row r="94" customFormat="false" ht="15" hidden="false" customHeight="true" outlineLevel="0" collapsed="false">
      <c r="A94" s="45" t="n">
        <v>10</v>
      </c>
      <c r="B94" s="46" t="s">
        <v>607</v>
      </c>
      <c r="C94" s="47" t="n">
        <v>5</v>
      </c>
      <c r="D94" s="47" t="n">
        <v>5</v>
      </c>
      <c r="E94" s="47" t="n">
        <v>4</v>
      </c>
    </row>
    <row r="95" customFormat="false" ht="15" hidden="false" customHeight="true" outlineLevel="0" collapsed="false">
      <c r="A95" s="43"/>
      <c r="B95" s="44" t="s">
        <v>608</v>
      </c>
      <c r="C95" s="43"/>
      <c r="D95" s="43"/>
      <c r="E95" s="43"/>
      <c r="F95" s="43"/>
    </row>
    <row r="96" customFormat="false" ht="15" hidden="false" customHeight="true" outlineLevel="0" collapsed="false">
      <c r="A96" s="45" t="n">
        <v>11</v>
      </c>
      <c r="B96" s="46" t="s">
        <v>609</v>
      </c>
      <c r="C96" s="47" t="n">
        <v>6.3</v>
      </c>
      <c r="D96" s="49" t="n">
        <v>8.8</v>
      </c>
      <c r="E96" s="47" t="n">
        <v>7.2</v>
      </c>
    </row>
    <row r="97" customFormat="false" ht="15" hidden="false" customHeight="true" outlineLevel="0" collapsed="false">
      <c r="A97" s="45" t="n">
        <v>12</v>
      </c>
      <c r="B97" s="46" t="s">
        <v>610</v>
      </c>
      <c r="C97" s="47" t="n">
        <v>6.6</v>
      </c>
      <c r="D97" s="49" t="n">
        <v>8.9</v>
      </c>
      <c r="E97" s="47" t="n">
        <v>6.6</v>
      </c>
    </row>
    <row r="98" customFormat="false" ht="15" hidden="false" customHeight="true" outlineLevel="0" collapsed="false">
      <c r="A98" s="45" t="n">
        <v>13</v>
      </c>
      <c r="B98" s="46" t="s">
        <v>611</v>
      </c>
      <c r="C98" s="47" t="n">
        <v>5</v>
      </c>
      <c r="D98" s="47" t="n">
        <v>7</v>
      </c>
      <c r="E98" s="47" t="n">
        <v>5</v>
      </c>
    </row>
    <row r="99" customFormat="false" ht="15" hidden="false" customHeight="true" outlineLevel="0" collapsed="false">
      <c r="A99" s="45" t="n">
        <v>14</v>
      </c>
      <c r="B99" s="46" t="s">
        <v>612</v>
      </c>
      <c r="C99" s="47" t="n">
        <v>6</v>
      </c>
      <c r="D99" s="49" t="n">
        <v>8</v>
      </c>
      <c r="E99" s="47" t="n">
        <v>7</v>
      </c>
    </row>
    <row r="100" customFormat="false" ht="15" hidden="false" customHeight="true" outlineLevel="0" collapsed="false">
      <c r="A100" s="45" t="n">
        <v>15</v>
      </c>
      <c r="B100" s="46" t="s">
        <v>613</v>
      </c>
      <c r="C100" s="47" t="n">
        <v>4</v>
      </c>
      <c r="D100" s="49" t="n">
        <v>8</v>
      </c>
      <c r="E100" s="47" t="n">
        <v>4</v>
      </c>
    </row>
    <row r="101" customFormat="false" ht="15" hidden="false" customHeight="true" outlineLevel="0" collapsed="false">
      <c r="A101" s="45" t="n">
        <v>16</v>
      </c>
      <c r="B101" s="46" t="s">
        <v>614</v>
      </c>
      <c r="C101" s="49" t="n">
        <v>8.4</v>
      </c>
      <c r="D101" s="49" t="n">
        <v>9.5</v>
      </c>
      <c r="E101" s="49" t="n">
        <v>8.8</v>
      </c>
    </row>
    <row r="102" customFormat="false" ht="15" hidden="false" customHeight="true" outlineLevel="0" collapsed="false">
      <c r="A102" s="45" t="n">
        <v>17</v>
      </c>
      <c r="B102" s="46" t="s">
        <v>615</v>
      </c>
      <c r="C102" s="47" t="n">
        <v>7</v>
      </c>
      <c r="D102" s="47" t="n">
        <v>7</v>
      </c>
      <c r="E102" s="47" t="n">
        <v>7</v>
      </c>
    </row>
    <row r="103" customFormat="false" ht="15" hidden="false" customHeight="true" outlineLevel="0" collapsed="false">
      <c r="A103" s="43"/>
      <c r="B103" s="44" t="s">
        <v>616</v>
      </c>
      <c r="C103" s="43"/>
      <c r="D103" s="43"/>
      <c r="E103" s="43"/>
      <c r="F103" s="43"/>
    </row>
    <row r="104" customFormat="false" ht="15" hidden="false" customHeight="true" outlineLevel="0" collapsed="false">
      <c r="A104" s="45" t="n">
        <v>18</v>
      </c>
      <c r="B104" s="46" t="s">
        <v>617</v>
      </c>
      <c r="C104" s="49" t="n">
        <v>8</v>
      </c>
      <c r="D104" s="47" t="n">
        <v>5</v>
      </c>
      <c r="E104" s="47" t="n">
        <v>7</v>
      </c>
    </row>
    <row r="105" customFormat="false" ht="15" hidden="false" customHeight="true" outlineLevel="0" collapsed="false">
      <c r="A105" s="45" t="n">
        <v>19</v>
      </c>
      <c r="B105" s="46" t="s">
        <v>618</v>
      </c>
      <c r="C105" s="49" t="n">
        <v>9</v>
      </c>
      <c r="D105" s="47" t="n">
        <v>5</v>
      </c>
      <c r="E105" s="49" t="n">
        <v>8</v>
      </c>
    </row>
    <row r="106" customFormat="false" ht="15" hidden="false" customHeight="true" outlineLevel="0" collapsed="false">
      <c r="A106" s="43"/>
      <c r="B106" s="44" t="s">
        <v>619</v>
      </c>
      <c r="C106" s="43"/>
      <c r="D106" s="43"/>
      <c r="E106" s="43"/>
      <c r="F106" s="43"/>
    </row>
    <row r="107" customFormat="false" ht="15" hidden="false" customHeight="true" outlineLevel="0" collapsed="false">
      <c r="A107" s="45" t="n">
        <v>20</v>
      </c>
      <c r="B107" s="46" t="s">
        <v>620</v>
      </c>
      <c r="C107" s="47" t="n">
        <v>5.4</v>
      </c>
      <c r="D107" s="47" t="n">
        <v>4.9</v>
      </c>
      <c r="E107" s="47" t="n">
        <v>4.3</v>
      </c>
    </row>
    <row r="108" customFormat="false" ht="15" hidden="false" customHeight="true" outlineLevel="0" collapsed="false">
      <c r="A108" s="45" t="n">
        <v>21</v>
      </c>
      <c r="B108" s="46" t="s">
        <v>621</v>
      </c>
      <c r="C108" s="47" t="n">
        <v>4.8</v>
      </c>
      <c r="D108" s="47" t="n">
        <v>4.2</v>
      </c>
      <c r="E108" s="47" t="n">
        <v>3.7</v>
      </c>
    </row>
    <row r="109" customFormat="false" ht="15" hidden="false" customHeight="true" outlineLevel="0" collapsed="false">
      <c r="A109" s="45" t="n">
        <v>22</v>
      </c>
      <c r="B109" s="46" t="s">
        <v>622</v>
      </c>
      <c r="C109" s="47" t="n">
        <v>6</v>
      </c>
      <c r="D109" s="47" t="n">
        <v>5</v>
      </c>
      <c r="E109" s="47" t="n">
        <v>5</v>
      </c>
    </row>
    <row r="110" customFormat="false" ht="15" hidden="false" customHeight="true" outlineLevel="0" collapsed="false">
      <c r="A110" s="45" t="n">
        <v>23</v>
      </c>
      <c r="B110" s="46" t="s">
        <v>623</v>
      </c>
      <c r="C110" s="47" t="n">
        <v>6</v>
      </c>
      <c r="D110" s="47" t="n">
        <v>5</v>
      </c>
      <c r="E110" s="47" t="n">
        <v>4</v>
      </c>
    </row>
    <row r="111" customFormat="false" ht="15" hidden="false" customHeight="true" outlineLevel="0" collapsed="false">
      <c r="A111" s="45" t="n">
        <v>24</v>
      </c>
      <c r="B111" s="46" t="s">
        <v>624</v>
      </c>
      <c r="C111" s="47" t="n">
        <v>7</v>
      </c>
      <c r="D111" s="47" t="n">
        <v>5</v>
      </c>
      <c r="E111" s="49" t="n">
        <v>8</v>
      </c>
    </row>
    <row r="112" customFormat="false" ht="15" hidden="false" customHeight="true" outlineLevel="0" collapsed="false">
      <c r="A112" s="43"/>
      <c r="B112" s="44" t="s">
        <v>625</v>
      </c>
      <c r="C112" s="43"/>
      <c r="D112" s="43"/>
      <c r="E112" s="43"/>
      <c r="F112" s="43"/>
    </row>
    <row r="113" customFormat="false" ht="15" hidden="false" customHeight="true" outlineLevel="0" collapsed="false">
      <c r="A113" s="45" t="n">
        <v>25</v>
      </c>
      <c r="B113" s="46" t="s">
        <v>626</v>
      </c>
      <c r="C113" s="47" t="n">
        <v>5</v>
      </c>
      <c r="D113" s="47" t="n">
        <v>7</v>
      </c>
      <c r="E113" s="47" t="n">
        <v>5</v>
      </c>
    </row>
    <row r="114" customFormat="false" ht="15" hidden="false" customHeight="true" outlineLevel="0" collapsed="false">
      <c r="A114" s="45" t="n">
        <v>26</v>
      </c>
      <c r="B114" s="46" t="s">
        <v>627</v>
      </c>
      <c r="C114" s="47" t="n">
        <v>5</v>
      </c>
      <c r="D114" s="47" t="n">
        <v>7</v>
      </c>
      <c r="E114" s="47" t="n">
        <v>4</v>
      </c>
    </row>
    <row r="115" customFormat="false" ht="15" hidden="false" customHeight="true" outlineLevel="0" collapsed="false">
      <c r="A115" s="45" t="n">
        <v>27</v>
      </c>
      <c r="B115" s="46" t="s">
        <v>628</v>
      </c>
      <c r="C115" s="47" t="n">
        <v>4</v>
      </c>
      <c r="D115" s="49" t="n">
        <v>8</v>
      </c>
      <c r="E115" s="47" t="n">
        <v>4</v>
      </c>
    </row>
    <row r="116" customFormat="false" ht="15" hidden="false" customHeight="true" outlineLevel="0" collapsed="false">
      <c r="A116" s="45" t="n">
        <v>28</v>
      </c>
      <c r="B116" s="46" t="s">
        <v>629</v>
      </c>
      <c r="C116" s="48" t="n">
        <v>3</v>
      </c>
      <c r="D116" s="47" t="n">
        <v>7</v>
      </c>
      <c r="E116" s="47" t="n">
        <v>5</v>
      </c>
    </row>
    <row r="118" customFormat="false" ht="15" hidden="false" customHeight="true" outlineLevel="0" collapsed="false">
      <c r="A118" s="52" t="s">
        <v>642</v>
      </c>
      <c r="B118" s="52"/>
      <c r="C118" s="52"/>
      <c r="D118" s="52"/>
      <c r="E118" s="52"/>
      <c r="F118" s="52"/>
    </row>
    <row r="119" customFormat="false" ht="39" hidden="false" customHeight="true" outlineLevel="0" collapsed="false">
      <c r="A119" s="40" t="s">
        <v>0</v>
      </c>
      <c r="B119" s="41" t="s">
        <v>1</v>
      </c>
      <c r="C119" s="42" t="s">
        <v>643</v>
      </c>
      <c r="D119" s="42" t="s">
        <v>644</v>
      </c>
      <c r="E119" s="42" t="s">
        <v>645</v>
      </c>
    </row>
    <row r="120" customFormat="false" ht="15" hidden="false" customHeight="true" outlineLevel="0" collapsed="false">
      <c r="A120" s="43"/>
      <c r="B120" s="44" t="s">
        <v>595</v>
      </c>
      <c r="C120" s="43"/>
      <c r="D120" s="43"/>
      <c r="E120" s="43"/>
      <c r="F120" s="43"/>
    </row>
    <row r="121" customFormat="false" ht="15" hidden="false" customHeight="true" outlineLevel="0" collapsed="false">
      <c r="A121" s="45" t="n">
        <v>1</v>
      </c>
      <c r="B121" s="46" t="s">
        <v>596</v>
      </c>
      <c r="C121" s="49" t="n">
        <v>10</v>
      </c>
      <c r="D121" s="49" t="n">
        <v>10</v>
      </c>
      <c r="E121" s="49" t="n">
        <v>10</v>
      </c>
    </row>
    <row r="122" customFormat="false" ht="15" hidden="false" customHeight="true" outlineLevel="0" collapsed="false">
      <c r="A122" s="45" t="n">
        <v>2</v>
      </c>
      <c r="B122" s="46" t="s">
        <v>597</v>
      </c>
      <c r="C122" s="47" t="n">
        <v>7</v>
      </c>
      <c r="D122" s="49" t="n">
        <v>9</v>
      </c>
      <c r="E122" s="47" t="n">
        <v>7</v>
      </c>
    </row>
    <row r="123" customFormat="false" ht="15" hidden="false" customHeight="true" outlineLevel="0" collapsed="false">
      <c r="A123" s="45" t="n">
        <v>3</v>
      </c>
      <c r="B123" s="46" t="s">
        <v>598</v>
      </c>
      <c r="C123" s="49" t="n">
        <v>9</v>
      </c>
      <c r="D123" s="49" t="n">
        <v>9</v>
      </c>
      <c r="E123" s="49" t="n">
        <v>9</v>
      </c>
    </row>
    <row r="124" customFormat="false" ht="15" hidden="false" customHeight="true" outlineLevel="0" collapsed="false">
      <c r="A124" s="43"/>
      <c r="B124" s="44" t="s">
        <v>599</v>
      </c>
      <c r="C124" s="43"/>
      <c r="D124" s="43"/>
      <c r="E124" s="43"/>
      <c r="F124" s="43"/>
    </row>
    <row r="125" customFormat="false" ht="15" hidden="false" customHeight="true" outlineLevel="0" collapsed="false">
      <c r="A125" s="45" t="n">
        <v>4</v>
      </c>
      <c r="B125" s="46" t="s">
        <v>600</v>
      </c>
      <c r="C125" s="48" t="n">
        <v>1.3</v>
      </c>
      <c r="D125" s="48" t="n">
        <v>1</v>
      </c>
      <c r="E125" s="48" t="n">
        <v>1.1</v>
      </c>
    </row>
    <row r="126" customFormat="false" ht="15" hidden="false" customHeight="true" outlineLevel="0" collapsed="false">
      <c r="A126" s="45" t="n">
        <v>5</v>
      </c>
      <c r="B126" s="46" t="s">
        <v>601</v>
      </c>
      <c r="C126" s="48" t="n">
        <v>1.3</v>
      </c>
      <c r="D126" s="48" t="n">
        <v>1</v>
      </c>
      <c r="E126" s="48" t="n">
        <v>1.1</v>
      </c>
    </row>
    <row r="127" customFormat="false" ht="15" hidden="false" customHeight="true" outlineLevel="0" collapsed="false">
      <c r="A127" s="45" t="n">
        <v>6</v>
      </c>
      <c r="B127" s="46" t="s">
        <v>602</v>
      </c>
      <c r="C127" s="48" t="n">
        <v>1.2</v>
      </c>
      <c r="D127" s="48" t="n">
        <v>1</v>
      </c>
      <c r="E127" s="48" t="n">
        <v>1</v>
      </c>
    </row>
    <row r="128" customFormat="false" ht="15" hidden="false" customHeight="true" outlineLevel="0" collapsed="false">
      <c r="A128" s="45" t="n">
        <v>7</v>
      </c>
      <c r="B128" s="46" t="s">
        <v>603</v>
      </c>
      <c r="C128" s="47" t="n">
        <v>7</v>
      </c>
      <c r="D128" s="47" t="n">
        <v>7</v>
      </c>
      <c r="E128" s="47" t="n">
        <v>7</v>
      </c>
    </row>
    <row r="129" customFormat="false" ht="15" hidden="false" customHeight="true" outlineLevel="0" collapsed="false">
      <c r="A129" s="43"/>
      <c r="B129" s="44" t="s">
        <v>604</v>
      </c>
      <c r="C129" s="43"/>
      <c r="D129" s="43"/>
      <c r="E129" s="43"/>
      <c r="F129" s="43"/>
    </row>
    <row r="130" customFormat="false" ht="15" hidden="false" customHeight="true" outlineLevel="0" collapsed="false">
      <c r="A130" s="45" t="n">
        <v>8</v>
      </c>
      <c r="B130" s="46" t="s">
        <v>605</v>
      </c>
      <c r="C130" s="48" t="n">
        <v>3</v>
      </c>
      <c r="D130" s="48" t="n">
        <v>2</v>
      </c>
      <c r="E130" s="48" t="n">
        <v>2</v>
      </c>
    </row>
    <row r="131" customFormat="false" ht="15" hidden="false" customHeight="true" outlineLevel="0" collapsed="false">
      <c r="A131" s="45" t="n">
        <v>9</v>
      </c>
      <c r="B131" s="46" t="s">
        <v>606</v>
      </c>
      <c r="C131" s="49" t="n">
        <v>9</v>
      </c>
      <c r="D131" s="49" t="n">
        <v>10</v>
      </c>
      <c r="E131" s="49" t="n">
        <v>10</v>
      </c>
    </row>
    <row r="132" customFormat="false" ht="15" hidden="false" customHeight="true" outlineLevel="0" collapsed="false">
      <c r="A132" s="45" t="n">
        <v>10</v>
      </c>
      <c r="B132" s="46" t="s">
        <v>607</v>
      </c>
      <c r="C132" s="47" t="n">
        <v>5</v>
      </c>
      <c r="D132" s="47" t="n">
        <v>4</v>
      </c>
      <c r="E132" s="47" t="n">
        <v>5</v>
      </c>
    </row>
    <row r="133" customFormat="false" ht="15" hidden="false" customHeight="true" outlineLevel="0" collapsed="false">
      <c r="A133" s="43"/>
      <c r="B133" s="44" t="s">
        <v>608</v>
      </c>
      <c r="C133" s="43"/>
      <c r="D133" s="43"/>
      <c r="E133" s="43"/>
      <c r="F133" s="43"/>
    </row>
    <row r="134" customFormat="false" ht="15" hidden="false" customHeight="true" outlineLevel="0" collapsed="false">
      <c r="A134" s="45" t="n">
        <v>11</v>
      </c>
      <c r="B134" s="46" t="s">
        <v>609</v>
      </c>
      <c r="C134" s="49" t="n">
        <v>8.8</v>
      </c>
      <c r="D134" s="49" t="n">
        <v>8.8</v>
      </c>
      <c r="E134" s="49" t="n">
        <v>8.8</v>
      </c>
    </row>
    <row r="135" customFormat="false" ht="15" hidden="false" customHeight="true" outlineLevel="0" collapsed="false">
      <c r="A135" s="45" t="n">
        <v>12</v>
      </c>
      <c r="B135" s="46" t="s">
        <v>610</v>
      </c>
      <c r="C135" s="47" t="n">
        <v>7.8</v>
      </c>
      <c r="D135" s="47" t="n">
        <v>7.3</v>
      </c>
      <c r="E135" s="49" t="n">
        <v>8.2</v>
      </c>
    </row>
    <row r="136" customFormat="false" ht="15" hidden="false" customHeight="true" outlineLevel="0" collapsed="false">
      <c r="A136" s="45" t="n">
        <v>13</v>
      </c>
      <c r="B136" s="46" t="s">
        <v>611</v>
      </c>
      <c r="C136" s="49" t="n">
        <v>8</v>
      </c>
      <c r="D136" s="49" t="n">
        <v>8</v>
      </c>
      <c r="E136" s="49" t="n">
        <v>8</v>
      </c>
    </row>
    <row r="137" customFormat="false" ht="15" hidden="false" customHeight="true" outlineLevel="0" collapsed="false">
      <c r="A137" s="45" t="n">
        <v>14</v>
      </c>
      <c r="B137" s="46" t="s">
        <v>612</v>
      </c>
      <c r="C137" s="49" t="n">
        <v>8</v>
      </c>
      <c r="D137" s="49" t="n">
        <v>9</v>
      </c>
      <c r="E137" s="49" t="n">
        <v>8</v>
      </c>
    </row>
    <row r="138" customFormat="false" ht="15" hidden="false" customHeight="true" outlineLevel="0" collapsed="false">
      <c r="A138" s="45" t="n">
        <v>15</v>
      </c>
      <c r="B138" s="46" t="s">
        <v>613</v>
      </c>
      <c r="C138" s="47" t="n">
        <v>7</v>
      </c>
      <c r="D138" s="49" t="n">
        <v>8</v>
      </c>
      <c r="E138" s="49" t="n">
        <v>8</v>
      </c>
    </row>
    <row r="139" customFormat="false" ht="15" hidden="false" customHeight="true" outlineLevel="0" collapsed="false">
      <c r="A139" s="45" t="n">
        <v>16</v>
      </c>
      <c r="B139" s="46" t="s">
        <v>614</v>
      </c>
      <c r="C139" s="49" t="n">
        <v>9.9</v>
      </c>
      <c r="D139" s="49" t="n">
        <v>10</v>
      </c>
      <c r="E139" s="49" t="n">
        <v>10</v>
      </c>
    </row>
    <row r="140" customFormat="false" ht="15" hidden="false" customHeight="true" outlineLevel="0" collapsed="false">
      <c r="A140" s="45" t="n">
        <v>17</v>
      </c>
      <c r="B140" s="46" t="s">
        <v>615</v>
      </c>
      <c r="C140" s="47" t="n">
        <v>7</v>
      </c>
      <c r="D140" s="49" t="n">
        <v>8</v>
      </c>
      <c r="E140" s="47" t="n">
        <v>6</v>
      </c>
    </row>
    <row r="141" customFormat="false" ht="15" hidden="false" customHeight="true" outlineLevel="0" collapsed="false">
      <c r="A141" s="43"/>
      <c r="B141" s="44" t="s">
        <v>616</v>
      </c>
      <c r="C141" s="43"/>
      <c r="D141" s="43"/>
      <c r="E141" s="43"/>
      <c r="F141" s="43"/>
    </row>
    <row r="142" customFormat="false" ht="15" hidden="false" customHeight="true" outlineLevel="0" collapsed="false">
      <c r="A142" s="45" t="n">
        <v>18</v>
      </c>
      <c r="B142" s="46" t="s">
        <v>617</v>
      </c>
      <c r="C142" s="47" t="n">
        <v>4</v>
      </c>
      <c r="D142" s="48" t="n">
        <v>3</v>
      </c>
      <c r="E142" s="48" t="n">
        <v>3</v>
      </c>
    </row>
    <row r="143" customFormat="false" ht="15" hidden="false" customHeight="true" outlineLevel="0" collapsed="false">
      <c r="A143" s="45" t="n">
        <v>19</v>
      </c>
      <c r="B143" s="46" t="s">
        <v>618</v>
      </c>
      <c r="C143" s="47" t="n">
        <v>4</v>
      </c>
      <c r="D143" s="48" t="n">
        <v>3</v>
      </c>
      <c r="E143" s="48" t="n">
        <v>3</v>
      </c>
    </row>
    <row r="144" customFormat="false" ht="15" hidden="false" customHeight="true" outlineLevel="0" collapsed="false">
      <c r="A144" s="43"/>
      <c r="B144" s="44" t="s">
        <v>619</v>
      </c>
      <c r="C144" s="43"/>
      <c r="D144" s="43"/>
      <c r="E144" s="43"/>
      <c r="F144" s="43"/>
    </row>
    <row r="145" customFormat="false" ht="15" hidden="false" customHeight="true" outlineLevel="0" collapsed="false">
      <c r="A145" s="45" t="n">
        <v>20</v>
      </c>
      <c r="B145" s="46" t="s">
        <v>620</v>
      </c>
      <c r="C145" s="47" t="n">
        <v>4.3</v>
      </c>
      <c r="D145" s="48" t="n">
        <v>2.8</v>
      </c>
      <c r="E145" s="47" t="n">
        <v>3.6</v>
      </c>
    </row>
    <row r="146" customFormat="false" ht="15" hidden="false" customHeight="true" outlineLevel="0" collapsed="false">
      <c r="A146" s="45" t="n">
        <v>21</v>
      </c>
      <c r="B146" s="46" t="s">
        <v>621</v>
      </c>
      <c r="C146" s="47" t="n">
        <v>3.7</v>
      </c>
      <c r="D146" s="48" t="n">
        <v>1.9</v>
      </c>
      <c r="E146" s="48" t="n">
        <v>2.6</v>
      </c>
    </row>
    <row r="147" customFormat="false" ht="15" hidden="false" customHeight="true" outlineLevel="0" collapsed="false">
      <c r="A147" s="45" t="n">
        <v>22</v>
      </c>
      <c r="B147" s="46" t="s">
        <v>622</v>
      </c>
      <c r="C147" s="47" t="n">
        <v>6</v>
      </c>
      <c r="D147" s="47" t="n">
        <v>4</v>
      </c>
      <c r="E147" s="47" t="n">
        <v>4</v>
      </c>
    </row>
    <row r="148" customFormat="false" ht="15" hidden="false" customHeight="true" outlineLevel="0" collapsed="false">
      <c r="A148" s="45" t="n">
        <v>23</v>
      </c>
      <c r="B148" s="46" t="s">
        <v>623</v>
      </c>
      <c r="C148" s="47" t="n">
        <v>5</v>
      </c>
      <c r="D148" s="47" t="n">
        <v>4</v>
      </c>
      <c r="E148" s="47" t="n">
        <v>4</v>
      </c>
    </row>
    <row r="149" customFormat="false" ht="15" hidden="false" customHeight="true" outlineLevel="0" collapsed="false">
      <c r="A149" s="45" t="n">
        <v>24</v>
      </c>
      <c r="B149" s="46" t="s">
        <v>624</v>
      </c>
      <c r="C149" s="47" t="n">
        <v>6</v>
      </c>
      <c r="D149" s="47" t="n">
        <v>5</v>
      </c>
      <c r="E149" s="47" t="n">
        <v>4</v>
      </c>
    </row>
    <row r="150" customFormat="false" ht="15" hidden="false" customHeight="true" outlineLevel="0" collapsed="false">
      <c r="A150" s="43"/>
      <c r="B150" s="44" t="s">
        <v>625</v>
      </c>
      <c r="C150" s="43"/>
      <c r="D150" s="43"/>
      <c r="E150" s="43"/>
      <c r="F150" s="43"/>
    </row>
    <row r="151" customFormat="false" ht="15" hidden="false" customHeight="true" outlineLevel="0" collapsed="false">
      <c r="A151" s="45" t="n">
        <v>25</v>
      </c>
      <c r="B151" s="46" t="s">
        <v>626</v>
      </c>
      <c r="C151" s="49" t="n">
        <v>8</v>
      </c>
      <c r="D151" s="49" t="n">
        <v>8</v>
      </c>
      <c r="E151" s="49" t="n">
        <v>8</v>
      </c>
    </row>
    <row r="152" customFormat="false" ht="15" hidden="false" customHeight="true" outlineLevel="0" collapsed="false">
      <c r="A152" s="45" t="n">
        <v>26</v>
      </c>
      <c r="B152" s="46" t="s">
        <v>627</v>
      </c>
      <c r="C152" s="47" t="n">
        <v>7</v>
      </c>
      <c r="D152" s="49" t="n">
        <v>8</v>
      </c>
      <c r="E152" s="49" t="n">
        <v>8</v>
      </c>
    </row>
    <row r="153" customFormat="false" ht="15" hidden="false" customHeight="true" outlineLevel="0" collapsed="false">
      <c r="A153" s="45" t="n">
        <v>27</v>
      </c>
      <c r="B153" s="46" t="s">
        <v>628</v>
      </c>
      <c r="C153" s="47" t="n">
        <v>7</v>
      </c>
      <c r="D153" s="49" t="n">
        <v>8</v>
      </c>
      <c r="E153" s="49" t="n">
        <v>8</v>
      </c>
    </row>
    <row r="154" customFormat="false" ht="15" hidden="false" customHeight="true" outlineLevel="0" collapsed="false">
      <c r="A154" s="45" t="n">
        <v>28</v>
      </c>
      <c r="B154" s="46" t="s">
        <v>629</v>
      </c>
      <c r="C154" s="49" t="n">
        <v>9</v>
      </c>
      <c r="D154" s="49" t="n">
        <v>9</v>
      </c>
      <c r="E154" s="49" t="n">
        <v>9</v>
      </c>
    </row>
    <row r="157" customFormat="false" ht="17.25" hidden="false" customHeight="true" outlineLevel="0" collapsed="false">
      <c r="B157" s="37" t="s">
        <v>646</v>
      </c>
      <c r="C157" s="37"/>
      <c r="D157" s="37"/>
      <c r="E157" s="37"/>
      <c r="F157" s="37"/>
      <c r="G157" s="37"/>
      <c r="H157" s="37"/>
      <c r="I157" s="37"/>
      <c r="J157" s="37"/>
    </row>
    <row r="158" customFormat="false" ht="15" hidden="false" customHeight="true" outlineLevel="0" collapsed="false">
      <c r="B158" s="38" t="s">
        <v>647</v>
      </c>
      <c r="C158" s="38"/>
      <c r="D158" s="38"/>
      <c r="E158" s="38"/>
      <c r="F158" s="38"/>
      <c r="G158" s="38"/>
      <c r="H158" s="38"/>
      <c r="I158" s="38"/>
      <c r="J158" s="38"/>
    </row>
    <row r="160" customFormat="false" ht="15" hidden="false" customHeight="true" outlineLevel="0" collapsed="false">
      <c r="A160" s="40" t="s">
        <v>648</v>
      </c>
      <c r="B160" s="41" t="s">
        <v>649</v>
      </c>
      <c r="C160" s="41" t="s">
        <v>650</v>
      </c>
      <c r="D160" s="42" t="s">
        <v>651</v>
      </c>
      <c r="E160" s="42" t="s">
        <v>652</v>
      </c>
      <c r="F160" s="42" t="s">
        <v>653</v>
      </c>
      <c r="G160" s="42" t="s">
        <v>654</v>
      </c>
      <c r="H160" s="42" t="s">
        <v>655</v>
      </c>
      <c r="I160" s="42" t="s">
        <v>656</v>
      </c>
      <c r="J160" s="42" t="s">
        <v>657</v>
      </c>
      <c r="K160" s="42" t="s">
        <v>658</v>
      </c>
      <c r="L160" s="42" t="s">
        <v>659</v>
      </c>
      <c r="M160" s="42" t="s">
        <v>660</v>
      </c>
      <c r="N160" s="42" t="s">
        <v>661</v>
      </c>
      <c r="O160" s="42" t="s">
        <v>662</v>
      </c>
      <c r="P160" s="42" t="s">
        <v>663</v>
      </c>
      <c r="Q160" s="42" t="s">
        <v>664</v>
      </c>
      <c r="R160" s="40" t="s">
        <v>665</v>
      </c>
      <c r="S160" s="40" t="s">
        <v>519</v>
      </c>
    </row>
    <row r="161" customFormat="false" ht="15" hidden="false" customHeight="true" outlineLevel="0" collapsed="false">
      <c r="A161" s="53" t="n">
        <v>1</v>
      </c>
      <c r="B161" s="54" t="s">
        <v>4</v>
      </c>
      <c r="C161" s="54" t="s">
        <v>666</v>
      </c>
      <c r="D161" s="55" t="n">
        <v>3.25</v>
      </c>
      <c r="E161" s="56" t="n">
        <v>4</v>
      </c>
      <c r="F161" s="56" t="n">
        <v>4.33</v>
      </c>
      <c r="G161" s="57" t="n">
        <v>4</v>
      </c>
      <c r="H161" s="56" t="n">
        <v>5</v>
      </c>
      <c r="I161" s="58" t="n">
        <v>8.67</v>
      </c>
      <c r="J161" s="57" t="n">
        <v>7.72</v>
      </c>
      <c r="K161" s="59" t="n">
        <v>8.33</v>
      </c>
      <c r="L161" s="59" t="n">
        <v>8.61</v>
      </c>
      <c r="M161" s="58" t="n">
        <v>8</v>
      </c>
      <c r="N161" s="57" t="n">
        <v>7</v>
      </c>
      <c r="O161" s="57" t="n">
        <v>7.4</v>
      </c>
      <c r="P161" s="56" t="n">
        <v>4.5</v>
      </c>
      <c r="Q161" s="57" t="n">
        <v>7</v>
      </c>
      <c r="R161" s="60" t="n">
        <v>6.27</v>
      </c>
      <c r="S161" s="60" t="n">
        <v>6.46</v>
      </c>
    </row>
    <row r="162" customFormat="false" ht="15" hidden="false" customHeight="true" outlineLevel="0" collapsed="false">
      <c r="A162" s="61" t="n">
        <v>2</v>
      </c>
      <c r="B162" s="62" t="s">
        <v>6</v>
      </c>
      <c r="C162" s="62" t="s">
        <v>667</v>
      </c>
      <c r="D162" s="56" t="n">
        <v>7.25</v>
      </c>
      <c r="E162" s="58" t="n">
        <v>9</v>
      </c>
      <c r="F162" s="56" t="n">
        <v>6</v>
      </c>
      <c r="G162" s="57" t="n">
        <v>7</v>
      </c>
      <c r="H162" s="56" t="n">
        <v>5.6</v>
      </c>
      <c r="I162" s="56" t="n">
        <v>6.67</v>
      </c>
      <c r="J162" s="57" t="n">
        <v>3.53</v>
      </c>
      <c r="K162" s="57" t="n">
        <v>6</v>
      </c>
      <c r="L162" s="57" t="n">
        <v>6.19</v>
      </c>
      <c r="M162" s="56" t="n">
        <v>6.5</v>
      </c>
      <c r="N162" s="59" t="n">
        <v>8.5</v>
      </c>
      <c r="O162" s="57" t="n">
        <v>5.84</v>
      </c>
      <c r="P162" s="56" t="n">
        <v>6.5</v>
      </c>
      <c r="Q162" s="57" t="n">
        <v>4.25</v>
      </c>
      <c r="R162" s="63" t="n">
        <v>6.34</v>
      </c>
      <c r="S162" s="63" t="n">
        <v>6.22</v>
      </c>
    </row>
    <row r="163" customFormat="false" ht="15" hidden="false" customHeight="true" outlineLevel="0" collapsed="false">
      <c r="A163" s="64" t="n">
        <v>3</v>
      </c>
      <c r="B163" s="62" t="s">
        <v>6</v>
      </c>
      <c r="C163" s="62" t="s">
        <v>668</v>
      </c>
      <c r="D163" s="56" t="n">
        <v>7.25</v>
      </c>
      <c r="E163" s="58" t="n">
        <v>9</v>
      </c>
      <c r="F163" s="56" t="n">
        <v>6</v>
      </c>
      <c r="G163" s="57" t="n">
        <v>7.33</v>
      </c>
      <c r="H163" s="56" t="n">
        <v>5.6</v>
      </c>
      <c r="I163" s="56" t="n">
        <v>6.67</v>
      </c>
      <c r="J163" s="65" t="n">
        <v>3.08</v>
      </c>
      <c r="K163" s="57" t="n">
        <v>5.67</v>
      </c>
      <c r="L163" s="59" t="n">
        <v>8.17</v>
      </c>
      <c r="M163" s="56" t="n">
        <v>6.5</v>
      </c>
      <c r="N163" s="57" t="n">
        <v>5</v>
      </c>
      <c r="O163" s="57" t="n">
        <v>4.82</v>
      </c>
      <c r="P163" s="56" t="n">
        <v>6.5</v>
      </c>
      <c r="Q163" s="57" t="n">
        <v>7.25</v>
      </c>
      <c r="R163" s="63" t="n">
        <v>6.35</v>
      </c>
      <c r="S163" s="63" t="n">
        <v>6.19</v>
      </c>
    </row>
    <row r="164" customFormat="false" ht="15" hidden="false" customHeight="true" outlineLevel="0" collapsed="false">
      <c r="A164" s="66" t="n">
        <v>4</v>
      </c>
      <c r="B164" s="62" t="s">
        <v>6</v>
      </c>
      <c r="C164" s="62" t="s">
        <v>669</v>
      </c>
      <c r="D164" s="56" t="n">
        <v>7.25</v>
      </c>
      <c r="E164" s="58" t="n">
        <v>9</v>
      </c>
      <c r="F164" s="56" t="n">
        <v>6</v>
      </c>
      <c r="G164" s="59" t="n">
        <v>8</v>
      </c>
      <c r="H164" s="56" t="n">
        <v>5.6</v>
      </c>
      <c r="I164" s="56" t="n">
        <v>6.67</v>
      </c>
      <c r="J164" s="65" t="n">
        <v>3.35</v>
      </c>
      <c r="K164" s="57" t="n">
        <v>5.33</v>
      </c>
      <c r="L164" s="57" t="n">
        <v>6.51</v>
      </c>
      <c r="M164" s="56" t="n">
        <v>6.5</v>
      </c>
      <c r="N164" s="57" t="n">
        <v>7.5</v>
      </c>
      <c r="O164" s="57" t="n">
        <v>5</v>
      </c>
      <c r="P164" s="56" t="n">
        <v>6.5</v>
      </c>
      <c r="Q164" s="57" t="n">
        <v>4.5</v>
      </c>
      <c r="R164" s="63" t="n">
        <v>6.26</v>
      </c>
      <c r="S164" s="63" t="n">
        <v>6.14</v>
      </c>
    </row>
    <row r="165" customFormat="false" ht="15" hidden="false" customHeight="true" outlineLevel="0" collapsed="false">
      <c r="A165" s="67" t="n">
        <v>5</v>
      </c>
      <c r="B165" s="54" t="s">
        <v>4</v>
      </c>
      <c r="C165" s="54" t="s">
        <v>670</v>
      </c>
      <c r="D165" s="55" t="n">
        <v>3.25</v>
      </c>
      <c r="E165" s="56" t="n">
        <v>4</v>
      </c>
      <c r="F165" s="56" t="n">
        <v>4.33</v>
      </c>
      <c r="G165" s="57" t="n">
        <v>4.67</v>
      </c>
      <c r="H165" s="56" t="n">
        <v>5</v>
      </c>
      <c r="I165" s="58" t="n">
        <v>8.67</v>
      </c>
      <c r="J165" s="57" t="n">
        <v>6.08</v>
      </c>
      <c r="K165" s="57" t="n">
        <v>6.33</v>
      </c>
      <c r="L165" s="59" t="n">
        <v>8.6</v>
      </c>
      <c r="M165" s="58" t="n">
        <v>8</v>
      </c>
      <c r="N165" s="57" t="n">
        <v>5.5</v>
      </c>
      <c r="O165" s="57" t="n">
        <v>7.62</v>
      </c>
      <c r="P165" s="56" t="n">
        <v>4.5</v>
      </c>
      <c r="Q165" s="59" t="n">
        <v>8</v>
      </c>
      <c r="R165" s="60" t="n">
        <v>6.04</v>
      </c>
      <c r="S165" s="60" t="n">
        <v>6.13</v>
      </c>
    </row>
    <row r="166" customFormat="false" ht="15" hidden="false" customHeight="true" outlineLevel="0" collapsed="false">
      <c r="A166" s="68" t="n">
        <v>6</v>
      </c>
      <c r="B166" s="69" t="s">
        <v>5</v>
      </c>
      <c r="C166" s="69" t="s">
        <v>631</v>
      </c>
      <c r="D166" s="56" t="n">
        <v>4.75</v>
      </c>
      <c r="E166" s="56" t="n">
        <v>5</v>
      </c>
      <c r="F166" s="56" t="n">
        <v>6</v>
      </c>
      <c r="G166" s="57" t="n">
        <v>6.67</v>
      </c>
      <c r="H166" s="56" t="n">
        <v>4.2</v>
      </c>
      <c r="I166" s="56" t="n">
        <v>6.5</v>
      </c>
      <c r="J166" s="57" t="n">
        <v>4.28</v>
      </c>
      <c r="K166" s="57" t="n">
        <v>7.33</v>
      </c>
      <c r="L166" s="59" t="n">
        <v>8.36</v>
      </c>
      <c r="M166" s="56" t="n">
        <v>7</v>
      </c>
      <c r="N166" s="59" t="n">
        <v>8.5</v>
      </c>
      <c r="O166" s="57" t="n">
        <v>6.38</v>
      </c>
      <c r="P166" s="56" t="n">
        <v>5.5</v>
      </c>
      <c r="Q166" s="57" t="n">
        <v>5.25</v>
      </c>
      <c r="R166" s="70" t="n">
        <v>6.12</v>
      </c>
      <c r="S166" s="70" t="n">
        <v>6.09</v>
      </c>
    </row>
    <row r="167" customFormat="false" ht="15" hidden="false" customHeight="true" outlineLevel="0" collapsed="false">
      <c r="A167" s="68" t="n">
        <v>7</v>
      </c>
      <c r="B167" s="69" t="s">
        <v>5</v>
      </c>
      <c r="C167" s="69" t="s">
        <v>632</v>
      </c>
      <c r="D167" s="56" t="n">
        <v>4.75</v>
      </c>
      <c r="E167" s="56" t="n">
        <v>5</v>
      </c>
      <c r="F167" s="56" t="n">
        <v>6</v>
      </c>
      <c r="G167" s="57" t="n">
        <v>6.67</v>
      </c>
      <c r="H167" s="56" t="n">
        <v>4.2</v>
      </c>
      <c r="I167" s="56" t="n">
        <v>6.5</v>
      </c>
      <c r="J167" s="57" t="n">
        <v>4</v>
      </c>
      <c r="K167" s="57" t="n">
        <v>7.33</v>
      </c>
      <c r="L167" s="59" t="n">
        <v>8.36</v>
      </c>
      <c r="M167" s="56" t="n">
        <v>7</v>
      </c>
      <c r="N167" s="59" t="n">
        <v>8</v>
      </c>
      <c r="O167" s="57" t="n">
        <v>6.8</v>
      </c>
      <c r="P167" s="56" t="n">
        <v>5.5</v>
      </c>
      <c r="Q167" s="57" t="n">
        <v>5.75</v>
      </c>
      <c r="R167" s="70" t="n">
        <v>6.13</v>
      </c>
      <c r="S167" s="70" t="n">
        <v>6.08</v>
      </c>
    </row>
    <row r="168" customFormat="false" ht="15" hidden="false" customHeight="true" outlineLevel="0" collapsed="false">
      <c r="A168" s="68" t="n">
        <v>8</v>
      </c>
      <c r="B168" s="69" t="s">
        <v>5</v>
      </c>
      <c r="C168" s="69" t="s">
        <v>633</v>
      </c>
      <c r="D168" s="56" t="n">
        <v>4.75</v>
      </c>
      <c r="E168" s="56" t="n">
        <v>5</v>
      </c>
      <c r="F168" s="56" t="n">
        <v>6</v>
      </c>
      <c r="G168" s="57" t="n">
        <v>6.67</v>
      </c>
      <c r="H168" s="56" t="n">
        <v>4.2</v>
      </c>
      <c r="I168" s="56" t="n">
        <v>6.5</v>
      </c>
      <c r="J168" s="57" t="n">
        <v>4.67</v>
      </c>
      <c r="K168" s="59" t="n">
        <v>8</v>
      </c>
      <c r="L168" s="57" t="n">
        <v>7.94</v>
      </c>
      <c r="M168" s="56" t="n">
        <v>7</v>
      </c>
      <c r="N168" s="59" t="n">
        <v>8.5</v>
      </c>
      <c r="O168" s="57" t="n">
        <v>5.6</v>
      </c>
      <c r="P168" s="56" t="n">
        <v>5.5</v>
      </c>
      <c r="Q168" s="57" t="n">
        <v>4.75</v>
      </c>
      <c r="R168" s="70" t="n">
        <v>6.08</v>
      </c>
      <c r="S168" s="70" t="n">
        <v>6.06</v>
      </c>
    </row>
    <row r="169" customFormat="false" ht="15" hidden="false" customHeight="true" outlineLevel="0" collapsed="false">
      <c r="A169" s="67" t="n">
        <v>9</v>
      </c>
      <c r="B169" s="54" t="s">
        <v>4</v>
      </c>
      <c r="C169" s="54" t="s">
        <v>568</v>
      </c>
      <c r="D169" s="55" t="n">
        <v>3.25</v>
      </c>
      <c r="E169" s="56" t="n">
        <v>4</v>
      </c>
      <c r="F169" s="56" t="n">
        <v>4.33</v>
      </c>
      <c r="G169" s="57" t="n">
        <v>4.67</v>
      </c>
      <c r="H169" s="56" t="n">
        <v>5</v>
      </c>
      <c r="I169" s="58" t="n">
        <v>8.67</v>
      </c>
      <c r="J169" s="57" t="n">
        <v>5.8</v>
      </c>
      <c r="K169" s="57" t="n">
        <v>6.33</v>
      </c>
      <c r="L169" s="57" t="n">
        <v>7.31</v>
      </c>
      <c r="M169" s="58" t="n">
        <v>8</v>
      </c>
      <c r="N169" s="57" t="n">
        <v>7.5</v>
      </c>
      <c r="O169" s="59" t="n">
        <v>8.12</v>
      </c>
      <c r="P169" s="56" t="n">
        <v>4.5</v>
      </c>
      <c r="Q169" s="57" t="n">
        <v>5.5</v>
      </c>
      <c r="R169" s="60" t="n">
        <v>5.93</v>
      </c>
      <c r="S169" s="60" t="n">
        <v>6.03</v>
      </c>
    </row>
    <row r="170" customFormat="false" ht="15" hidden="false" customHeight="true" outlineLevel="0" collapsed="false">
      <c r="A170" s="68" t="n">
        <v>10</v>
      </c>
      <c r="B170" s="69" t="s">
        <v>5</v>
      </c>
      <c r="C170" s="69" t="s">
        <v>634</v>
      </c>
      <c r="D170" s="56" t="n">
        <v>4.75</v>
      </c>
      <c r="E170" s="56" t="n">
        <v>5</v>
      </c>
      <c r="F170" s="56" t="n">
        <v>6</v>
      </c>
      <c r="G170" s="59" t="n">
        <v>9</v>
      </c>
      <c r="H170" s="56" t="n">
        <v>4.2</v>
      </c>
      <c r="I170" s="56" t="n">
        <v>6.5</v>
      </c>
      <c r="J170" s="65" t="n">
        <v>3.42</v>
      </c>
      <c r="K170" s="57" t="n">
        <v>6.67</v>
      </c>
      <c r="L170" s="59" t="n">
        <v>8.51</v>
      </c>
      <c r="M170" s="56" t="n">
        <v>7</v>
      </c>
      <c r="N170" s="57" t="n">
        <v>7.5</v>
      </c>
      <c r="O170" s="57" t="n">
        <v>5.58</v>
      </c>
      <c r="P170" s="56" t="n">
        <v>5.5</v>
      </c>
      <c r="Q170" s="57" t="n">
        <v>5.25</v>
      </c>
      <c r="R170" s="70" t="n">
        <v>6.06</v>
      </c>
      <c r="S170" s="70" t="n">
        <v>6.01</v>
      </c>
    </row>
    <row r="171" customFormat="false" ht="15" hidden="false" customHeight="true" outlineLevel="0" collapsed="false">
      <c r="A171" s="67" t="n">
        <v>11</v>
      </c>
      <c r="B171" s="54" t="s">
        <v>4</v>
      </c>
      <c r="C171" s="54" t="s">
        <v>671</v>
      </c>
      <c r="D171" s="55" t="n">
        <v>3.25</v>
      </c>
      <c r="E171" s="56" t="n">
        <v>4</v>
      </c>
      <c r="F171" s="56" t="n">
        <v>4.33</v>
      </c>
      <c r="G171" s="57" t="n">
        <v>4.33</v>
      </c>
      <c r="H171" s="56" t="n">
        <v>5</v>
      </c>
      <c r="I171" s="58" t="n">
        <v>8.67</v>
      </c>
      <c r="J171" s="57" t="n">
        <v>6.38</v>
      </c>
      <c r="K171" s="57" t="n">
        <v>5.67</v>
      </c>
      <c r="L171" s="57" t="n">
        <v>6.67</v>
      </c>
      <c r="M171" s="58" t="n">
        <v>8</v>
      </c>
      <c r="N171" s="59" t="n">
        <v>8.5</v>
      </c>
      <c r="O171" s="57" t="n">
        <v>7.68</v>
      </c>
      <c r="P171" s="56" t="n">
        <v>4.5</v>
      </c>
      <c r="Q171" s="57" t="n">
        <v>5.5</v>
      </c>
      <c r="R171" s="60" t="n">
        <v>5.89</v>
      </c>
      <c r="S171" s="60" t="n">
        <v>5.99</v>
      </c>
    </row>
    <row r="172" customFormat="false" ht="15" hidden="false" customHeight="true" outlineLevel="0" collapsed="false">
      <c r="A172" s="67" t="n">
        <v>12</v>
      </c>
      <c r="B172" s="54" t="s">
        <v>4</v>
      </c>
      <c r="C172" s="54" t="s">
        <v>570</v>
      </c>
      <c r="D172" s="55" t="n">
        <v>3.25</v>
      </c>
      <c r="E172" s="56" t="n">
        <v>4</v>
      </c>
      <c r="F172" s="56" t="n">
        <v>4.33</v>
      </c>
      <c r="G172" s="57" t="n">
        <v>4.67</v>
      </c>
      <c r="H172" s="56" t="n">
        <v>5</v>
      </c>
      <c r="I172" s="58" t="n">
        <v>8.67</v>
      </c>
      <c r="J172" s="57" t="n">
        <v>6.25</v>
      </c>
      <c r="K172" s="57" t="n">
        <v>5.67</v>
      </c>
      <c r="L172" s="57" t="n">
        <v>6.21</v>
      </c>
      <c r="M172" s="58" t="n">
        <v>8</v>
      </c>
      <c r="N172" s="59" t="n">
        <v>9.5</v>
      </c>
      <c r="O172" s="57" t="n">
        <v>7.64</v>
      </c>
      <c r="P172" s="56" t="n">
        <v>4.5</v>
      </c>
      <c r="Q172" s="57" t="n">
        <v>4.75</v>
      </c>
      <c r="R172" s="60" t="n">
        <v>5.89</v>
      </c>
      <c r="S172" s="60" t="n">
        <v>5.98</v>
      </c>
    </row>
    <row r="173" customFormat="false" ht="15" hidden="false" customHeight="true" outlineLevel="0" collapsed="false">
      <c r="A173" s="67" t="n">
        <v>13</v>
      </c>
      <c r="B173" s="54" t="s">
        <v>4</v>
      </c>
      <c r="C173" s="54" t="s">
        <v>672</v>
      </c>
      <c r="D173" s="55" t="n">
        <v>3.25</v>
      </c>
      <c r="E173" s="56" t="n">
        <v>4</v>
      </c>
      <c r="F173" s="56" t="n">
        <v>4.33</v>
      </c>
      <c r="G173" s="57" t="n">
        <v>3.67</v>
      </c>
      <c r="H173" s="56" t="n">
        <v>5</v>
      </c>
      <c r="I173" s="58" t="n">
        <v>8.67</v>
      </c>
      <c r="J173" s="57" t="n">
        <v>6.65</v>
      </c>
      <c r="K173" s="57" t="n">
        <v>6</v>
      </c>
      <c r="L173" s="57" t="n">
        <v>6.07</v>
      </c>
      <c r="M173" s="58" t="n">
        <v>8</v>
      </c>
      <c r="N173" s="59" t="n">
        <v>8.5</v>
      </c>
      <c r="O173" s="59" t="n">
        <v>8.22</v>
      </c>
      <c r="P173" s="56" t="n">
        <v>4.5</v>
      </c>
      <c r="Q173" s="57" t="n">
        <v>4.25</v>
      </c>
      <c r="R173" s="60" t="n">
        <v>5.79</v>
      </c>
      <c r="S173" s="60" t="n">
        <v>5.92</v>
      </c>
    </row>
    <row r="174" customFormat="false" ht="15" hidden="false" customHeight="true" outlineLevel="0" collapsed="false">
      <c r="A174" s="68" t="n">
        <v>14</v>
      </c>
      <c r="B174" s="69" t="s">
        <v>5</v>
      </c>
      <c r="C174" s="69" t="s">
        <v>635</v>
      </c>
      <c r="D174" s="56" t="n">
        <v>4.75</v>
      </c>
      <c r="E174" s="56" t="n">
        <v>5</v>
      </c>
      <c r="F174" s="56" t="n">
        <v>6</v>
      </c>
      <c r="G174" s="57" t="n">
        <v>6.67</v>
      </c>
      <c r="H174" s="56" t="n">
        <v>4.2</v>
      </c>
      <c r="I174" s="56" t="n">
        <v>6.5</v>
      </c>
      <c r="J174" s="57" t="n">
        <v>3.83</v>
      </c>
      <c r="K174" s="57" t="n">
        <v>7</v>
      </c>
      <c r="L174" s="57" t="n">
        <v>7.7</v>
      </c>
      <c r="M174" s="56" t="n">
        <v>7</v>
      </c>
      <c r="N174" s="59" t="n">
        <v>8</v>
      </c>
      <c r="O174" s="57" t="n">
        <v>6.34</v>
      </c>
      <c r="P174" s="56" t="n">
        <v>5.5</v>
      </c>
      <c r="Q174" s="57" t="n">
        <v>5.25</v>
      </c>
      <c r="R174" s="70" t="n">
        <v>5.98</v>
      </c>
      <c r="S174" s="70" t="n">
        <v>5.91</v>
      </c>
    </row>
    <row r="175" customFormat="false" ht="15" hidden="false" customHeight="true" outlineLevel="0" collapsed="false">
      <c r="A175" s="67" t="n">
        <v>15</v>
      </c>
      <c r="B175" s="54" t="s">
        <v>4</v>
      </c>
      <c r="C175" s="54" t="s">
        <v>572</v>
      </c>
      <c r="D175" s="55" t="n">
        <v>3.25</v>
      </c>
      <c r="E175" s="56" t="n">
        <v>4</v>
      </c>
      <c r="F175" s="56" t="n">
        <v>4.33</v>
      </c>
      <c r="G175" s="57" t="n">
        <v>4.67</v>
      </c>
      <c r="H175" s="56" t="n">
        <v>5</v>
      </c>
      <c r="I175" s="58" t="n">
        <v>8.67</v>
      </c>
      <c r="J175" s="57" t="n">
        <v>5.38</v>
      </c>
      <c r="K175" s="57" t="n">
        <v>5.67</v>
      </c>
      <c r="L175" s="57" t="n">
        <v>6.43</v>
      </c>
      <c r="M175" s="58" t="n">
        <v>8</v>
      </c>
      <c r="N175" s="59" t="n">
        <v>8.5</v>
      </c>
      <c r="O175" s="59" t="n">
        <v>8.22</v>
      </c>
      <c r="P175" s="56" t="n">
        <v>4.5</v>
      </c>
      <c r="Q175" s="57" t="n">
        <v>5</v>
      </c>
      <c r="R175" s="60" t="n">
        <v>5.83</v>
      </c>
      <c r="S175" s="60" t="n">
        <v>5.89</v>
      </c>
    </row>
    <row r="176" customFormat="false" ht="15" hidden="false" customHeight="true" outlineLevel="0" collapsed="false">
      <c r="A176" s="67" t="n">
        <v>16</v>
      </c>
      <c r="B176" s="54" t="s">
        <v>4</v>
      </c>
      <c r="C176" s="54" t="s">
        <v>673</v>
      </c>
      <c r="D176" s="55" t="n">
        <v>3.25</v>
      </c>
      <c r="E176" s="56" t="n">
        <v>4</v>
      </c>
      <c r="F176" s="56" t="n">
        <v>4.33</v>
      </c>
      <c r="G176" s="57" t="n">
        <v>5.83</v>
      </c>
      <c r="H176" s="56" t="n">
        <v>5</v>
      </c>
      <c r="I176" s="58" t="n">
        <v>8.67</v>
      </c>
      <c r="J176" s="57" t="n">
        <v>5.7</v>
      </c>
      <c r="K176" s="57" t="n">
        <v>6.67</v>
      </c>
      <c r="L176" s="57" t="n">
        <v>7.2</v>
      </c>
      <c r="M176" s="58" t="n">
        <v>8</v>
      </c>
      <c r="N176" s="57" t="n">
        <v>6.5</v>
      </c>
      <c r="O176" s="57" t="n">
        <v>5.78</v>
      </c>
      <c r="P176" s="56" t="n">
        <v>4.5</v>
      </c>
      <c r="Q176" s="57" t="n">
        <v>5</v>
      </c>
      <c r="R176" s="60" t="n">
        <v>5.75</v>
      </c>
      <c r="S176" s="60" t="n">
        <v>5.85</v>
      </c>
    </row>
    <row r="177" customFormat="false" ht="15" hidden="false" customHeight="true" outlineLevel="0" collapsed="false">
      <c r="A177" s="68" t="n">
        <v>17</v>
      </c>
      <c r="B177" s="69" t="s">
        <v>5</v>
      </c>
      <c r="C177" s="69" t="s">
        <v>636</v>
      </c>
      <c r="D177" s="56" t="n">
        <v>4.75</v>
      </c>
      <c r="E177" s="56" t="n">
        <v>5</v>
      </c>
      <c r="F177" s="56" t="n">
        <v>6</v>
      </c>
      <c r="G177" s="57" t="n">
        <v>5</v>
      </c>
      <c r="H177" s="56" t="n">
        <v>4.2</v>
      </c>
      <c r="I177" s="56" t="n">
        <v>6.5</v>
      </c>
      <c r="J177" s="57" t="n">
        <v>4.55</v>
      </c>
      <c r="K177" s="57" t="n">
        <v>6.67</v>
      </c>
      <c r="L177" s="59" t="n">
        <v>8.74</v>
      </c>
      <c r="M177" s="56" t="n">
        <v>7</v>
      </c>
      <c r="N177" s="57" t="n">
        <v>5.5</v>
      </c>
      <c r="O177" s="57" t="n">
        <v>6.32</v>
      </c>
      <c r="P177" s="56" t="n">
        <v>5.5</v>
      </c>
      <c r="Q177" s="57" t="n">
        <v>6.75</v>
      </c>
      <c r="R177" s="70" t="n">
        <v>5.89</v>
      </c>
      <c r="S177" s="70" t="n">
        <v>5.84</v>
      </c>
    </row>
    <row r="178" customFormat="false" ht="15" hidden="false" customHeight="true" outlineLevel="0" collapsed="false">
      <c r="A178" s="67" t="n">
        <v>18</v>
      </c>
      <c r="B178" s="54" t="s">
        <v>4</v>
      </c>
      <c r="C178" s="54" t="s">
        <v>574</v>
      </c>
      <c r="D178" s="55" t="n">
        <v>3.25</v>
      </c>
      <c r="E178" s="56" t="n">
        <v>4</v>
      </c>
      <c r="F178" s="56" t="n">
        <v>4.33</v>
      </c>
      <c r="G178" s="57" t="n">
        <v>4.5</v>
      </c>
      <c r="H178" s="56" t="n">
        <v>5</v>
      </c>
      <c r="I178" s="58" t="n">
        <v>8.67</v>
      </c>
      <c r="J178" s="57" t="n">
        <v>5.78</v>
      </c>
      <c r="K178" s="57" t="n">
        <v>5.67</v>
      </c>
      <c r="L178" s="57" t="n">
        <v>6.03</v>
      </c>
      <c r="M178" s="58" t="n">
        <v>8</v>
      </c>
      <c r="N178" s="59" t="n">
        <v>8</v>
      </c>
      <c r="O178" s="57" t="n">
        <v>7.78</v>
      </c>
      <c r="P178" s="56" t="n">
        <v>4.5</v>
      </c>
      <c r="Q178" s="57" t="n">
        <v>4.75</v>
      </c>
      <c r="R178" s="60" t="n">
        <v>5.73</v>
      </c>
      <c r="S178" s="60" t="n">
        <v>5.81</v>
      </c>
    </row>
    <row r="179" customFormat="false" ht="15" hidden="false" customHeight="true" outlineLevel="0" collapsed="false">
      <c r="A179" s="71" t="n">
        <v>19</v>
      </c>
      <c r="B179" s="72" t="s">
        <v>7</v>
      </c>
      <c r="C179" s="72" t="s">
        <v>674</v>
      </c>
      <c r="D179" s="56" t="n">
        <v>6</v>
      </c>
      <c r="E179" s="56" t="n">
        <v>7</v>
      </c>
      <c r="F179" s="56" t="n">
        <v>6.67</v>
      </c>
      <c r="G179" s="59" t="n">
        <v>8.67</v>
      </c>
      <c r="H179" s="56" t="n">
        <v>5</v>
      </c>
      <c r="I179" s="56" t="n">
        <v>5</v>
      </c>
      <c r="J179" s="65" t="n">
        <v>2.7</v>
      </c>
      <c r="K179" s="57" t="n">
        <v>5.67</v>
      </c>
      <c r="L179" s="59" t="n">
        <v>8.07</v>
      </c>
      <c r="M179" s="56" t="n">
        <v>5.25</v>
      </c>
      <c r="N179" s="57" t="n">
        <v>4</v>
      </c>
      <c r="O179" s="57" t="n">
        <v>5</v>
      </c>
      <c r="P179" s="56" t="n">
        <v>6.75</v>
      </c>
      <c r="Q179" s="57" t="n">
        <v>7.75</v>
      </c>
      <c r="R179" s="73" t="n">
        <v>5.97</v>
      </c>
      <c r="S179" s="73" t="n">
        <v>5.78</v>
      </c>
    </row>
    <row r="180" customFormat="false" ht="15" hidden="false" customHeight="true" outlineLevel="0" collapsed="false">
      <c r="A180" s="67" t="n">
        <v>20</v>
      </c>
      <c r="B180" s="54" t="s">
        <v>4</v>
      </c>
      <c r="C180" s="54" t="s">
        <v>575</v>
      </c>
      <c r="D180" s="55" t="n">
        <v>3.25</v>
      </c>
      <c r="E180" s="56" t="n">
        <v>4</v>
      </c>
      <c r="F180" s="56" t="n">
        <v>4.33</v>
      </c>
      <c r="G180" s="57" t="n">
        <v>4.33</v>
      </c>
      <c r="H180" s="56" t="n">
        <v>5</v>
      </c>
      <c r="I180" s="58" t="n">
        <v>8.67</v>
      </c>
      <c r="J180" s="57" t="n">
        <v>6.55</v>
      </c>
      <c r="K180" s="57" t="n">
        <v>5.67</v>
      </c>
      <c r="L180" s="57" t="n">
        <v>4.97</v>
      </c>
      <c r="M180" s="58" t="n">
        <v>8</v>
      </c>
      <c r="N180" s="59" t="n">
        <v>9.5</v>
      </c>
      <c r="O180" s="57" t="n">
        <v>7.2</v>
      </c>
      <c r="P180" s="56" t="n">
        <v>4.5</v>
      </c>
      <c r="Q180" s="65" t="n">
        <v>3.25</v>
      </c>
      <c r="R180" s="60" t="n">
        <v>5.66</v>
      </c>
      <c r="S180" s="60" t="n">
        <v>5.77</v>
      </c>
    </row>
    <row r="181" customFormat="false" ht="15" hidden="false" customHeight="true" outlineLevel="0" collapsed="false">
      <c r="A181" s="67" t="n">
        <v>21</v>
      </c>
      <c r="B181" s="54" t="s">
        <v>4</v>
      </c>
      <c r="C181" s="54" t="s">
        <v>576</v>
      </c>
      <c r="D181" s="55" t="n">
        <v>3.25</v>
      </c>
      <c r="E181" s="56" t="n">
        <v>4</v>
      </c>
      <c r="F181" s="56" t="n">
        <v>4.33</v>
      </c>
      <c r="G181" s="57" t="n">
        <v>5.33</v>
      </c>
      <c r="H181" s="56" t="n">
        <v>5</v>
      </c>
      <c r="I181" s="58" t="n">
        <v>8.67</v>
      </c>
      <c r="J181" s="57" t="n">
        <v>5.22</v>
      </c>
      <c r="K181" s="57" t="n">
        <v>6</v>
      </c>
      <c r="L181" s="57" t="n">
        <v>6.3</v>
      </c>
      <c r="M181" s="58" t="n">
        <v>8</v>
      </c>
      <c r="N181" s="57" t="n">
        <v>7.5</v>
      </c>
      <c r="O181" s="57" t="n">
        <v>6.6</v>
      </c>
      <c r="P181" s="56" t="n">
        <v>4.5</v>
      </c>
      <c r="Q181" s="57" t="n">
        <v>5.25</v>
      </c>
      <c r="R181" s="60" t="n">
        <v>5.71</v>
      </c>
      <c r="S181" s="60" t="n">
        <v>5.76</v>
      </c>
    </row>
    <row r="182" customFormat="false" ht="15" hidden="false" customHeight="true" outlineLevel="0" collapsed="false">
      <c r="A182" s="67" t="n">
        <v>22</v>
      </c>
      <c r="B182" s="54" t="s">
        <v>4</v>
      </c>
      <c r="C182" s="54" t="s">
        <v>577</v>
      </c>
      <c r="D182" s="55" t="n">
        <v>3.25</v>
      </c>
      <c r="E182" s="56" t="n">
        <v>4</v>
      </c>
      <c r="F182" s="56" t="n">
        <v>4.33</v>
      </c>
      <c r="G182" s="57" t="n">
        <v>4.67</v>
      </c>
      <c r="H182" s="56" t="n">
        <v>5</v>
      </c>
      <c r="I182" s="58" t="n">
        <v>8.67</v>
      </c>
      <c r="J182" s="57" t="n">
        <v>7.93</v>
      </c>
      <c r="K182" s="57" t="n">
        <v>5.33</v>
      </c>
      <c r="L182" s="57" t="n">
        <v>3.94</v>
      </c>
      <c r="M182" s="58" t="n">
        <v>8</v>
      </c>
      <c r="N182" s="59" t="n">
        <v>9</v>
      </c>
      <c r="O182" s="57" t="n">
        <v>6.96</v>
      </c>
      <c r="P182" s="56" t="n">
        <v>4.5</v>
      </c>
      <c r="Q182" s="65" t="n">
        <v>2.75</v>
      </c>
      <c r="R182" s="60" t="n">
        <v>5.59</v>
      </c>
      <c r="S182" s="60" t="n">
        <v>5.75</v>
      </c>
    </row>
    <row r="183" customFormat="false" ht="15" hidden="false" customHeight="true" outlineLevel="0" collapsed="false">
      <c r="A183" s="67" t="n">
        <v>23</v>
      </c>
      <c r="B183" s="54" t="s">
        <v>4</v>
      </c>
      <c r="C183" s="54" t="s">
        <v>675</v>
      </c>
      <c r="D183" s="55" t="n">
        <v>3.25</v>
      </c>
      <c r="E183" s="56" t="n">
        <v>4</v>
      </c>
      <c r="F183" s="56" t="n">
        <v>4.33</v>
      </c>
      <c r="G183" s="57" t="n">
        <v>4.67</v>
      </c>
      <c r="H183" s="56" t="n">
        <v>5</v>
      </c>
      <c r="I183" s="58" t="n">
        <v>8.67</v>
      </c>
      <c r="J183" s="57" t="n">
        <v>5.95</v>
      </c>
      <c r="K183" s="57" t="n">
        <v>5</v>
      </c>
      <c r="L183" s="57" t="n">
        <v>6.2</v>
      </c>
      <c r="M183" s="58" t="n">
        <v>8</v>
      </c>
      <c r="N183" s="57" t="n">
        <v>7</v>
      </c>
      <c r="O183" s="57" t="n">
        <v>6.94</v>
      </c>
      <c r="P183" s="56" t="n">
        <v>4.5</v>
      </c>
      <c r="Q183" s="57" t="n">
        <v>5.25</v>
      </c>
      <c r="R183" s="60" t="n">
        <v>5.63</v>
      </c>
      <c r="S183" s="60" t="n">
        <v>5.7</v>
      </c>
    </row>
    <row r="184" customFormat="false" ht="15" hidden="false" customHeight="true" outlineLevel="0" collapsed="false">
      <c r="A184" s="71" t="n">
        <v>24</v>
      </c>
      <c r="B184" s="72" t="s">
        <v>7</v>
      </c>
      <c r="C184" s="72" t="s">
        <v>644</v>
      </c>
      <c r="D184" s="56" t="n">
        <v>6</v>
      </c>
      <c r="E184" s="56" t="n">
        <v>7</v>
      </c>
      <c r="F184" s="56" t="n">
        <v>6.67</v>
      </c>
      <c r="G184" s="59" t="n">
        <v>9.33</v>
      </c>
      <c r="H184" s="56" t="n">
        <v>5</v>
      </c>
      <c r="I184" s="56" t="n">
        <v>5</v>
      </c>
      <c r="J184" s="65" t="n">
        <v>2.5</v>
      </c>
      <c r="K184" s="57" t="n">
        <v>5.33</v>
      </c>
      <c r="L184" s="59" t="n">
        <v>8.44</v>
      </c>
      <c r="M184" s="56" t="n">
        <v>5.25</v>
      </c>
      <c r="N184" s="65" t="n">
        <v>3</v>
      </c>
      <c r="O184" s="57" t="n">
        <v>3.54</v>
      </c>
      <c r="P184" s="56" t="n">
        <v>6.75</v>
      </c>
      <c r="Q184" s="59" t="n">
        <v>8.25</v>
      </c>
      <c r="R184" s="73" t="n">
        <v>5.86</v>
      </c>
      <c r="S184" s="73" t="n">
        <v>5.66</v>
      </c>
    </row>
    <row r="185" customFormat="false" ht="15" hidden="false" customHeight="true" outlineLevel="0" collapsed="false">
      <c r="A185" s="68" t="n">
        <v>25</v>
      </c>
      <c r="B185" s="69" t="s">
        <v>5</v>
      </c>
      <c r="C185" s="69" t="s">
        <v>676</v>
      </c>
      <c r="D185" s="56" t="n">
        <v>4.75</v>
      </c>
      <c r="E185" s="56" t="n">
        <v>5</v>
      </c>
      <c r="F185" s="56" t="n">
        <v>6</v>
      </c>
      <c r="G185" s="57" t="n">
        <v>4.67</v>
      </c>
      <c r="H185" s="56" t="n">
        <v>4.2</v>
      </c>
      <c r="I185" s="56" t="n">
        <v>6.5</v>
      </c>
      <c r="J185" s="57" t="n">
        <v>5.05</v>
      </c>
      <c r="K185" s="57" t="n">
        <v>5</v>
      </c>
      <c r="L185" s="57" t="n">
        <v>4.9</v>
      </c>
      <c r="M185" s="56" t="n">
        <v>7</v>
      </c>
      <c r="N185" s="59" t="n">
        <v>9.5</v>
      </c>
      <c r="O185" s="59" t="n">
        <v>8.14</v>
      </c>
      <c r="P185" s="56" t="n">
        <v>5.5</v>
      </c>
      <c r="Q185" s="65" t="n">
        <v>3.5</v>
      </c>
      <c r="R185" s="70" t="n">
        <v>5.69</v>
      </c>
      <c r="S185" s="70" t="n">
        <v>5.63</v>
      </c>
    </row>
    <row r="186" customFormat="false" ht="15" hidden="false" customHeight="true" outlineLevel="0" collapsed="false">
      <c r="A186" s="71" t="n">
        <v>26</v>
      </c>
      <c r="B186" s="72" t="s">
        <v>7</v>
      </c>
      <c r="C186" s="72" t="s">
        <v>677</v>
      </c>
      <c r="D186" s="56" t="n">
        <v>6</v>
      </c>
      <c r="E186" s="56" t="n">
        <v>7</v>
      </c>
      <c r="F186" s="56" t="n">
        <v>6.67</v>
      </c>
      <c r="G186" s="59" t="n">
        <v>8.67</v>
      </c>
      <c r="H186" s="56" t="n">
        <v>5</v>
      </c>
      <c r="I186" s="56" t="n">
        <v>5</v>
      </c>
      <c r="J186" s="65" t="n">
        <v>2.55</v>
      </c>
      <c r="K186" s="57" t="n">
        <v>5.67</v>
      </c>
      <c r="L186" s="59" t="n">
        <v>8.14</v>
      </c>
      <c r="M186" s="56" t="n">
        <v>5.25</v>
      </c>
      <c r="N186" s="65" t="n">
        <v>3</v>
      </c>
      <c r="O186" s="57" t="n">
        <v>3.64</v>
      </c>
      <c r="P186" s="56" t="n">
        <v>6.75</v>
      </c>
      <c r="Q186" s="59" t="n">
        <v>8.25</v>
      </c>
      <c r="R186" s="73" t="n">
        <v>5.83</v>
      </c>
      <c r="S186" s="73" t="n">
        <v>5.62</v>
      </c>
    </row>
    <row r="187" customFormat="false" ht="15" hidden="false" customHeight="true" outlineLevel="0" collapsed="false">
      <c r="A187" s="67" t="n">
        <v>27</v>
      </c>
      <c r="B187" s="54" t="s">
        <v>4</v>
      </c>
      <c r="C187" s="54" t="s">
        <v>579</v>
      </c>
      <c r="D187" s="55" t="n">
        <v>3.25</v>
      </c>
      <c r="E187" s="56" t="n">
        <v>4</v>
      </c>
      <c r="F187" s="56" t="n">
        <v>4.33</v>
      </c>
      <c r="G187" s="57" t="n">
        <v>5.33</v>
      </c>
      <c r="H187" s="56" t="n">
        <v>5</v>
      </c>
      <c r="I187" s="58" t="n">
        <v>8.67</v>
      </c>
      <c r="J187" s="57" t="n">
        <v>4.83</v>
      </c>
      <c r="K187" s="57" t="n">
        <v>5.67</v>
      </c>
      <c r="L187" s="57" t="n">
        <v>5.46</v>
      </c>
      <c r="M187" s="58" t="n">
        <v>8</v>
      </c>
      <c r="N187" s="59" t="n">
        <v>8.5</v>
      </c>
      <c r="O187" s="57" t="n">
        <v>6.3</v>
      </c>
      <c r="P187" s="56" t="n">
        <v>4.5</v>
      </c>
      <c r="Q187" s="57" t="n">
        <v>4.25</v>
      </c>
      <c r="R187" s="60" t="n">
        <v>5.58</v>
      </c>
      <c r="S187" s="60" t="n">
        <v>5.6</v>
      </c>
    </row>
    <row r="188" customFormat="false" ht="15" hidden="false" customHeight="true" outlineLevel="0" collapsed="false">
      <c r="A188" s="67" t="n">
        <v>28</v>
      </c>
      <c r="B188" s="54" t="s">
        <v>4</v>
      </c>
      <c r="C188" s="54" t="s">
        <v>580</v>
      </c>
      <c r="D188" s="55" t="n">
        <v>3.25</v>
      </c>
      <c r="E188" s="56" t="n">
        <v>4</v>
      </c>
      <c r="F188" s="56" t="n">
        <v>4.33</v>
      </c>
      <c r="G188" s="57" t="n">
        <v>5.33</v>
      </c>
      <c r="H188" s="56" t="n">
        <v>5</v>
      </c>
      <c r="I188" s="58" t="n">
        <v>8.67</v>
      </c>
      <c r="J188" s="57" t="n">
        <v>5.88</v>
      </c>
      <c r="K188" s="57" t="n">
        <v>4</v>
      </c>
      <c r="L188" s="57" t="n">
        <v>7.26</v>
      </c>
      <c r="M188" s="58" t="n">
        <v>8</v>
      </c>
      <c r="N188" s="65" t="n">
        <v>3.5</v>
      </c>
      <c r="O188" s="57" t="n">
        <v>6.6</v>
      </c>
      <c r="P188" s="56" t="n">
        <v>4.5</v>
      </c>
      <c r="Q188" s="57" t="n">
        <v>7.25</v>
      </c>
      <c r="R188" s="60" t="n">
        <v>5.54</v>
      </c>
      <c r="S188" s="60" t="n">
        <v>5.6</v>
      </c>
    </row>
    <row r="189" customFormat="false" ht="15" hidden="false" customHeight="true" outlineLevel="0" collapsed="false">
      <c r="A189" s="67" t="n">
        <v>29</v>
      </c>
      <c r="B189" s="54" t="s">
        <v>4</v>
      </c>
      <c r="C189" s="54" t="s">
        <v>581</v>
      </c>
      <c r="D189" s="55" t="n">
        <v>3.25</v>
      </c>
      <c r="E189" s="56" t="n">
        <v>4</v>
      </c>
      <c r="F189" s="56" t="n">
        <v>4.33</v>
      </c>
      <c r="G189" s="57" t="n">
        <v>6.67</v>
      </c>
      <c r="H189" s="56" t="n">
        <v>5</v>
      </c>
      <c r="I189" s="58" t="n">
        <v>8.67</v>
      </c>
      <c r="J189" s="57" t="n">
        <v>4.65</v>
      </c>
      <c r="K189" s="57" t="n">
        <v>4</v>
      </c>
      <c r="L189" s="57" t="n">
        <v>7.71</v>
      </c>
      <c r="M189" s="58" t="n">
        <v>8</v>
      </c>
      <c r="N189" s="65" t="n">
        <v>3.5</v>
      </c>
      <c r="O189" s="57" t="n">
        <v>6.7</v>
      </c>
      <c r="P189" s="56" t="n">
        <v>4.5</v>
      </c>
      <c r="Q189" s="57" t="n">
        <v>6.75</v>
      </c>
      <c r="R189" s="60" t="n">
        <v>5.55</v>
      </c>
      <c r="S189" s="60" t="n">
        <v>5.59</v>
      </c>
    </row>
    <row r="190" customFormat="false" ht="15" hidden="false" customHeight="true" outlineLevel="0" collapsed="false">
      <c r="A190" s="67" t="n">
        <v>30</v>
      </c>
      <c r="B190" s="54" t="s">
        <v>4</v>
      </c>
      <c r="C190" s="54" t="s">
        <v>582</v>
      </c>
      <c r="D190" s="55" t="n">
        <v>3.25</v>
      </c>
      <c r="E190" s="56" t="n">
        <v>4</v>
      </c>
      <c r="F190" s="56" t="n">
        <v>4.33</v>
      </c>
      <c r="G190" s="57" t="n">
        <v>6</v>
      </c>
      <c r="H190" s="56" t="n">
        <v>5</v>
      </c>
      <c r="I190" s="58" t="n">
        <v>8.67</v>
      </c>
      <c r="J190" s="57" t="n">
        <v>5.05</v>
      </c>
      <c r="K190" s="57" t="n">
        <v>5.33</v>
      </c>
      <c r="L190" s="57" t="n">
        <v>5.9</v>
      </c>
      <c r="M190" s="58" t="n">
        <v>8</v>
      </c>
      <c r="N190" s="57" t="n">
        <v>6</v>
      </c>
      <c r="O190" s="57" t="n">
        <v>6.02</v>
      </c>
      <c r="P190" s="56" t="n">
        <v>4.5</v>
      </c>
      <c r="Q190" s="57" t="n">
        <v>4.5</v>
      </c>
      <c r="R190" s="60" t="n">
        <v>5.47</v>
      </c>
      <c r="S190" s="60" t="n">
        <v>5.52</v>
      </c>
    </row>
    <row r="191" customFormat="false" ht="15" hidden="false" customHeight="true" outlineLevel="0" collapsed="false">
      <c r="A191" s="67" t="n">
        <v>31</v>
      </c>
      <c r="B191" s="54" t="s">
        <v>4</v>
      </c>
      <c r="C191" s="54" t="s">
        <v>583</v>
      </c>
      <c r="D191" s="55" t="n">
        <v>3.25</v>
      </c>
      <c r="E191" s="56" t="n">
        <v>4</v>
      </c>
      <c r="F191" s="56" t="n">
        <v>4.33</v>
      </c>
      <c r="G191" s="65" t="n">
        <v>3</v>
      </c>
      <c r="H191" s="56" t="n">
        <v>5</v>
      </c>
      <c r="I191" s="58" t="n">
        <v>8.67</v>
      </c>
      <c r="J191" s="59" t="n">
        <v>8</v>
      </c>
      <c r="K191" s="57" t="n">
        <v>4.33</v>
      </c>
      <c r="L191" s="65" t="n">
        <v>2.53</v>
      </c>
      <c r="M191" s="58" t="n">
        <v>8</v>
      </c>
      <c r="N191" s="59" t="n">
        <v>9.5</v>
      </c>
      <c r="O191" s="59" t="n">
        <v>8.02</v>
      </c>
      <c r="P191" s="56" t="n">
        <v>4.5</v>
      </c>
      <c r="Q191" s="65" t="n">
        <v>2</v>
      </c>
      <c r="R191" s="60" t="n">
        <v>5.37</v>
      </c>
      <c r="S191" s="60" t="n">
        <v>5.49</v>
      </c>
    </row>
    <row r="192" customFormat="false" ht="15" hidden="false" customHeight="true" outlineLevel="0" collapsed="false">
      <c r="A192" s="67" t="n">
        <v>32</v>
      </c>
      <c r="B192" s="54" t="s">
        <v>4</v>
      </c>
      <c r="C192" s="54" t="s">
        <v>678</v>
      </c>
      <c r="D192" s="55" t="n">
        <v>3.25</v>
      </c>
      <c r="E192" s="56" t="n">
        <v>4</v>
      </c>
      <c r="F192" s="56" t="n">
        <v>4.33</v>
      </c>
      <c r="G192" s="57" t="n">
        <v>4.33</v>
      </c>
      <c r="H192" s="56" t="n">
        <v>5</v>
      </c>
      <c r="I192" s="58" t="n">
        <v>8.67</v>
      </c>
      <c r="J192" s="57" t="n">
        <v>6.62</v>
      </c>
      <c r="K192" s="57" t="n">
        <v>4.33</v>
      </c>
      <c r="L192" s="57" t="n">
        <v>3.93</v>
      </c>
      <c r="M192" s="58" t="n">
        <v>8</v>
      </c>
      <c r="N192" s="59" t="n">
        <v>8</v>
      </c>
      <c r="O192" s="57" t="n">
        <v>7.46</v>
      </c>
      <c r="P192" s="56" t="n">
        <v>4.5</v>
      </c>
      <c r="Q192" s="65" t="n">
        <v>3</v>
      </c>
      <c r="R192" s="60" t="n">
        <v>5.39</v>
      </c>
      <c r="S192" s="60" t="n">
        <v>5.48</v>
      </c>
    </row>
    <row r="193" customFormat="false" ht="15" hidden="false" customHeight="true" outlineLevel="0" collapsed="false">
      <c r="A193" s="67" t="n">
        <v>33</v>
      </c>
      <c r="B193" s="54" t="s">
        <v>4</v>
      </c>
      <c r="C193" s="54" t="s">
        <v>679</v>
      </c>
      <c r="D193" s="55" t="n">
        <v>3.25</v>
      </c>
      <c r="E193" s="56" t="n">
        <v>4</v>
      </c>
      <c r="F193" s="56" t="n">
        <v>4.33</v>
      </c>
      <c r="G193" s="65" t="n">
        <v>3.5</v>
      </c>
      <c r="H193" s="56" t="n">
        <v>5</v>
      </c>
      <c r="I193" s="58" t="n">
        <v>8.67</v>
      </c>
      <c r="J193" s="57" t="n">
        <v>5.28</v>
      </c>
      <c r="K193" s="57" t="n">
        <v>5</v>
      </c>
      <c r="L193" s="57" t="n">
        <v>4.69</v>
      </c>
      <c r="M193" s="58" t="n">
        <v>8</v>
      </c>
      <c r="N193" s="59" t="n">
        <v>8</v>
      </c>
      <c r="O193" s="57" t="n">
        <v>7.98</v>
      </c>
      <c r="P193" s="56" t="n">
        <v>4.5</v>
      </c>
      <c r="Q193" s="57" t="n">
        <v>4</v>
      </c>
      <c r="R193" s="60" t="n">
        <v>5.44</v>
      </c>
      <c r="S193" s="60" t="n">
        <v>5.47</v>
      </c>
    </row>
    <row r="194" customFormat="false" ht="15" hidden="false" customHeight="true" outlineLevel="0" collapsed="false">
      <c r="A194" s="67" t="n">
        <v>34</v>
      </c>
      <c r="B194" s="54" t="s">
        <v>4</v>
      </c>
      <c r="C194" s="54" t="s">
        <v>586</v>
      </c>
      <c r="D194" s="55" t="n">
        <v>3.25</v>
      </c>
      <c r="E194" s="56" t="n">
        <v>4</v>
      </c>
      <c r="F194" s="56" t="n">
        <v>4.33</v>
      </c>
      <c r="G194" s="57" t="n">
        <v>4</v>
      </c>
      <c r="H194" s="56" t="n">
        <v>5</v>
      </c>
      <c r="I194" s="58" t="n">
        <v>8.67</v>
      </c>
      <c r="J194" s="57" t="n">
        <v>4.38</v>
      </c>
      <c r="K194" s="57" t="n">
        <v>4.67</v>
      </c>
      <c r="L194" s="57" t="n">
        <v>4.19</v>
      </c>
      <c r="M194" s="58" t="n">
        <v>8</v>
      </c>
      <c r="N194" s="59" t="n">
        <v>9.5</v>
      </c>
      <c r="O194" s="59" t="n">
        <v>8.14</v>
      </c>
      <c r="P194" s="56" t="n">
        <v>4.5</v>
      </c>
      <c r="Q194" s="65" t="n">
        <v>3.25</v>
      </c>
      <c r="R194" s="60" t="n">
        <v>5.42</v>
      </c>
      <c r="S194" s="60" t="n">
        <v>5.41</v>
      </c>
    </row>
    <row r="195" customFormat="false" ht="15" hidden="false" customHeight="true" outlineLevel="0" collapsed="false">
      <c r="A195" s="67" t="n">
        <v>35</v>
      </c>
      <c r="B195" s="54" t="s">
        <v>4</v>
      </c>
      <c r="C195" s="54" t="s">
        <v>587</v>
      </c>
      <c r="D195" s="55" t="n">
        <v>3.25</v>
      </c>
      <c r="E195" s="56" t="n">
        <v>4</v>
      </c>
      <c r="F195" s="56" t="n">
        <v>4.33</v>
      </c>
      <c r="G195" s="57" t="n">
        <v>4</v>
      </c>
      <c r="H195" s="56" t="n">
        <v>5</v>
      </c>
      <c r="I195" s="58" t="n">
        <v>8.67</v>
      </c>
      <c r="J195" s="57" t="n">
        <v>5.42</v>
      </c>
      <c r="K195" s="57" t="n">
        <v>4.67</v>
      </c>
      <c r="L195" s="57" t="n">
        <v>4.07</v>
      </c>
      <c r="M195" s="58" t="n">
        <v>8</v>
      </c>
      <c r="N195" s="59" t="n">
        <v>8.5</v>
      </c>
      <c r="O195" s="57" t="n">
        <v>7.22</v>
      </c>
      <c r="P195" s="56" t="n">
        <v>4.5</v>
      </c>
      <c r="Q195" s="65" t="n">
        <v>3</v>
      </c>
      <c r="R195" s="60" t="n">
        <v>5.33</v>
      </c>
      <c r="S195" s="60" t="n">
        <v>5.37</v>
      </c>
    </row>
    <row r="196" customFormat="false" ht="15" hidden="false" customHeight="true" outlineLevel="0" collapsed="false">
      <c r="A196" s="67" t="n">
        <v>36</v>
      </c>
      <c r="B196" s="54" t="s">
        <v>4</v>
      </c>
      <c r="C196" s="54" t="s">
        <v>588</v>
      </c>
      <c r="D196" s="55" t="n">
        <v>3.25</v>
      </c>
      <c r="E196" s="56" t="n">
        <v>4</v>
      </c>
      <c r="F196" s="56" t="n">
        <v>4.33</v>
      </c>
      <c r="G196" s="57" t="n">
        <v>5.33</v>
      </c>
      <c r="H196" s="56" t="n">
        <v>5</v>
      </c>
      <c r="I196" s="58" t="n">
        <v>8.67</v>
      </c>
      <c r="J196" s="57" t="n">
        <v>4.72</v>
      </c>
      <c r="K196" s="57" t="n">
        <v>4.67</v>
      </c>
      <c r="L196" s="57" t="n">
        <v>4.07</v>
      </c>
      <c r="M196" s="58" t="n">
        <v>8</v>
      </c>
      <c r="N196" s="59" t="n">
        <v>8.5</v>
      </c>
      <c r="O196" s="57" t="n">
        <v>6.74</v>
      </c>
      <c r="P196" s="56" t="n">
        <v>4.5</v>
      </c>
      <c r="Q196" s="65" t="n">
        <v>3.25</v>
      </c>
      <c r="R196" s="60" t="n">
        <v>5.36</v>
      </c>
      <c r="S196" s="60" t="n">
        <v>5.36</v>
      </c>
    </row>
    <row r="197" customFormat="false" ht="15" hidden="false" customHeight="true" outlineLevel="0" collapsed="false">
      <c r="A197" s="67" t="n">
        <v>37</v>
      </c>
      <c r="B197" s="54" t="s">
        <v>4</v>
      </c>
      <c r="C197" s="54" t="s">
        <v>589</v>
      </c>
      <c r="D197" s="55" t="n">
        <v>3.25</v>
      </c>
      <c r="E197" s="56" t="n">
        <v>4</v>
      </c>
      <c r="F197" s="56" t="n">
        <v>4.33</v>
      </c>
      <c r="G197" s="57" t="n">
        <v>6.5</v>
      </c>
      <c r="H197" s="56" t="n">
        <v>5</v>
      </c>
      <c r="I197" s="58" t="n">
        <v>8.67</v>
      </c>
      <c r="J197" s="57" t="n">
        <v>4.55</v>
      </c>
      <c r="K197" s="57" t="n">
        <v>5.33</v>
      </c>
      <c r="L197" s="57" t="n">
        <v>5.47</v>
      </c>
      <c r="M197" s="58" t="n">
        <v>8</v>
      </c>
      <c r="N197" s="57" t="n">
        <v>5.5</v>
      </c>
      <c r="O197" s="57" t="n">
        <v>5.4</v>
      </c>
      <c r="P197" s="56" t="n">
        <v>4.5</v>
      </c>
      <c r="Q197" s="57" t="n">
        <v>3.75</v>
      </c>
      <c r="R197" s="60" t="n">
        <v>5.3</v>
      </c>
      <c r="S197" s="60" t="n">
        <v>5.34</v>
      </c>
    </row>
    <row r="198" customFormat="false" ht="15" hidden="false" customHeight="true" outlineLevel="0" collapsed="false">
      <c r="A198" s="67" t="n">
        <v>38</v>
      </c>
      <c r="B198" s="54" t="s">
        <v>4</v>
      </c>
      <c r="C198" s="54" t="s">
        <v>590</v>
      </c>
      <c r="D198" s="55" t="n">
        <v>3.25</v>
      </c>
      <c r="E198" s="56" t="n">
        <v>4</v>
      </c>
      <c r="F198" s="56" t="n">
        <v>4.33</v>
      </c>
      <c r="G198" s="57" t="n">
        <v>5.33</v>
      </c>
      <c r="H198" s="56" t="n">
        <v>5</v>
      </c>
      <c r="I198" s="58" t="n">
        <v>8.67</v>
      </c>
      <c r="J198" s="57" t="n">
        <v>4.38</v>
      </c>
      <c r="K198" s="57" t="n">
        <v>4.33</v>
      </c>
      <c r="L198" s="57" t="n">
        <v>4.63</v>
      </c>
      <c r="M198" s="58" t="n">
        <v>8</v>
      </c>
      <c r="N198" s="57" t="n">
        <v>6.5</v>
      </c>
      <c r="O198" s="57" t="n">
        <v>6.84</v>
      </c>
      <c r="P198" s="56" t="n">
        <v>4.5</v>
      </c>
      <c r="Q198" s="57" t="n">
        <v>3.75</v>
      </c>
      <c r="R198" s="60" t="n">
        <v>5.25</v>
      </c>
      <c r="S198" s="60" t="n">
        <v>5.25</v>
      </c>
    </row>
    <row r="199" customFormat="false" ht="15" hidden="false" customHeight="true" outlineLevel="0" collapsed="false">
      <c r="A199" s="67" t="n">
        <v>39</v>
      </c>
      <c r="B199" s="54" t="s">
        <v>4</v>
      </c>
      <c r="C199" s="54" t="s">
        <v>680</v>
      </c>
      <c r="D199" s="55" t="n">
        <v>3.25</v>
      </c>
      <c r="E199" s="56" t="n">
        <v>4</v>
      </c>
      <c r="F199" s="56" t="n">
        <v>4.33</v>
      </c>
      <c r="G199" s="65" t="n">
        <v>3.17</v>
      </c>
      <c r="H199" s="56" t="n">
        <v>5</v>
      </c>
      <c r="I199" s="58" t="n">
        <v>8.67</v>
      </c>
      <c r="J199" s="57" t="n">
        <v>6.4</v>
      </c>
      <c r="K199" s="57" t="n">
        <v>4.33</v>
      </c>
      <c r="L199" s="65" t="n">
        <v>2.3</v>
      </c>
      <c r="M199" s="58" t="n">
        <v>8</v>
      </c>
      <c r="N199" s="59" t="n">
        <v>9</v>
      </c>
      <c r="O199" s="57" t="n">
        <v>7.18</v>
      </c>
      <c r="P199" s="56" t="n">
        <v>4.5</v>
      </c>
      <c r="Q199" s="65" t="n">
        <v>2</v>
      </c>
      <c r="R199" s="60" t="n">
        <v>5.15</v>
      </c>
      <c r="S199" s="60" t="n">
        <v>5.2</v>
      </c>
    </row>
    <row r="200" customFormat="false" ht="15" hidden="false" customHeight="true" outlineLevel="0" collapsed="false">
      <c r="A200" s="67" t="n">
        <v>40</v>
      </c>
      <c r="B200" s="54" t="s">
        <v>4</v>
      </c>
      <c r="C200" s="54" t="s">
        <v>592</v>
      </c>
      <c r="D200" s="55" t="n">
        <v>3.25</v>
      </c>
      <c r="E200" s="56" t="n">
        <v>4</v>
      </c>
      <c r="F200" s="56" t="n">
        <v>4.33</v>
      </c>
      <c r="G200" s="57" t="n">
        <v>4.33</v>
      </c>
      <c r="H200" s="56" t="n">
        <v>5</v>
      </c>
      <c r="I200" s="58" t="n">
        <v>8.67</v>
      </c>
      <c r="J200" s="57" t="n">
        <v>4.42</v>
      </c>
      <c r="K200" s="57" t="n">
        <v>4.33</v>
      </c>
      <c r="L200" s="65" t="n">
        <v>2.67</v>
      </c>
      <c r="M200" s="58" t="n">
        <v>8</v>
      </c>
      <c r="N200" s="59" t="n">
        <v>9.5</v>
      </c>
      <c r="O200" s="57" t="n">
        <v>7.62</v>
      </c>
      <c r="P200" s="56" t="n">
        <v>4.5</v>
      </c>
      <c r="Q200" s="65" t="n">
        <v>2.5</v>
      </c>
      <c r="R200" s="60" t="n">
        <v>5.22</v>
      </c>
      <c r="S200" s="60" t="n">
        <v>5.19</v>
      </c>
    </row>
    <row r="201" customFormat="false" ht="15" hidden="false" customHeight="true" outlineLevel="0" collapsed="false">
      <c r="A201" s="67" t="n">
        <v>41</v>
      </c>
      <c r="B201" s="54" t="s">
        <v>4</v>
      </c>
      <c r="C201" s="54" t="s">
        <v>681</v>
      </c>
      <c r="D201" s="55" t="n">
        <v>3.25</v>
      </c>
      <c r="E201" s="56" t="n">
        <v>4</v>
      </c>
      <c r="F201" s="56" t="n">
        <v>4.33</v>
      </c>
      <c r="G201" s="57" t="n">
        <v>4.67</v>
      </c>
      <c r="H201" s="56" t="n">
        <v>5</v>
      </c>
      <c r="I201" s="58" t="n">
        <v>8.67</v>
      </c>
      <c r="J201" s="57" t="n">
        <v>4.3</v>
      </c>
      <c r="K201" s="57" t="n">
        <v>4.33</v>
      </c>
      <c r="L201" s="65" t="n">
        <v>3.1</v>
      </c>
      <c r="M201" s="58" t="n">
        <v>8</v>
      </c>
      <c r="N201" s="59" t="n">
        <v>9.5</v>
      </c>
      <c r="O201" s="57" t="n">
        <v>7</v>
      </c>
      <c r="P201" s="56" t="n">
        <v>4.5</v>
      </c>
      <c r="Q201" s="65" t="n">
        <v>2.25</v>
      </c>
      <c r="R201" s="60" t="n">
        <v>5.21</v>
      </c>
      <c r="S201" s="60" t="n">
        <v>5.18</v>
      </c>
    </row>
    <row r="202" customFormat="false" ht="15" hidden="false" customHeight="true" outlineLevel="0" collapsed="false">
      <c r="A202" s="67" t="n">
        <v>42</v>
      </c>
      <c r="B202" s="54" t="s">
        <v>4</v>
      </c>
      <c r="C202" s="54" t="s">
        <v>594</v>
      </c>
      <c r="D202" s="55" t="n">
        <v>3.25</v>
      </c>
      <c r="E202" s="56" t="n">
        <v>4</v>
      </c>
      <c r="F202" s="56" t="n">
        <v>4.33</v>
      </c>
      <c r="G202" s="57" t="n">
        <v>5.67</v>
      </c>
      <c r="H202" s="56" t="n">
        <v>5</v>
      </c>
      <c r="I202" s="58" t="n">
        <v>8.67</v>
      </c>
      <c r="J202" s="57" t="n">
        <v>4.17</v>
      </c>
      <c r="K202" s="57" t="n">
        <v>4.33</v>
      </c>
      <c r="L202" s="57" t="n">
        <v>3.91</v>
      </c>
      <c r="M202" s="58" t="n">
        <v>8</v>
      </c>
      <c r="N202" s="57" t="n">
        <v>7.5</v>
      </c>
      <c r="O202" s="57" t="n">
        <v>6.4</v>
      </c>
      <c r="P202" s="56" t="n">
        <v>4.5</v>
      </c>
      <c r="Q202" s="65" t="n">
        <v>3</v>
      </c>
      <c r="R202" s="60" t="n">
        <v>5.2</v>
      </c>
      <c r="S202" s="60" t="n">
        <v>5.18</v>
      </c>
    </row>
    <row r="205" customFormat="false" ht="17.25" hidden="false" customHeight="true" outlineLevel="0" collapsed="false">
      <c r="B205" s="37" t="s">
        <v>682</v>
      </c>
      <c r="C205" s="37"/>
      <c r="D205" s="37"/>
      <c r="E205" s="37"/>
      <c r="F205" s="37"/>
      <c r="G205" s="37"/>
      <c r="H205" s="37"/>
      <c r="I205" s="37"/>
      <c r="J205" s="37"/>
    </row>
    <row r="207" customFormat="false" ht="26.25" hidden="false" customHeight="true" outlineLevel="0" collapsed="false">
      <c r="A207" s="40" t="s">
        <v>648</v>
      </c>
      <c r="B207" s="41" t="s">
        <v>649</v>
      </c>
      <c r="C207" s="41" t="s">
        <v>650</v>
      </c>
      <c r="D207" s="42" t="s">
        <v>519</v>
      </c>
      <c r="E207" s="42" t="s">
        <v>521</v>
      </c>
      <c r="F207" s="42" t="s">
        <v>522</v>
      </c>
      <c r="G207" s="42" t="s">
        <v>523</v>
      </c>
      <c r="H207" s="42" t="s">
        <v>524</v>
      </c>
      <c r="I207" s="42" t="s">
        <v>526</v>
      </c>
      <c r="J207" s="40" t="s">
        <v>683</v>
      </c>
      <c r="K207" s="40" t="s">
        <v>684</v>
      </c>
    </row>
    <row r="208" customFormat="false" ht="15" hidden="false" customHeight="true" outlineLevel="0" collapsed="false">
      <c r="A208" s="67" t="n">
        <v>1</v>
      </c>
      <c r="B208" s="54" t="s">
        <v>4</v>
      </c>
      <c r="C208" s="54" t="s">
        <v>666</v>
      </c>
      <c r="D208" s="74" t="n">
        <v>6.46</v>
      </c>
      <c r="E208" s="75" t="n">
        <v>6.26</v>
      </c>
      <c r="F208" s="74" t="n">
        <v>6.65</v>
      </c>
      <c r="G208" s="74" t="n">
        <v>6.79</v>
      </c>
      <c r="H208" s="57" t="n">
        <v>5.33</v>
      </c>
      <c r="I208" s="74" t="n">
        <v>6.95</v>
      </c>
      <c r="J208" s="76" t="n">
        <v>3.5</v>
      </c>
      <c r="K208" s="77" t="n">
        <v>4</v>
      </c>
    </row>
    <row r="209" customFormat="false" ht="15" hidden="false" customHeight="true" outlineLevel="0" collapsed="false">
      <c r="A209" s="67" t="n">
        <v>2</v>
      </c>
      <c r="B209" s="54" t="s">
        <v>4</v>
      </c>
      <c r="C209" s="54" t="s">
        <v>670</v>
      </c>
      <c r="D209" s="57" t="n">
        <v>6.13</v>
      </c>
      <c r="E209" s="57" t="n">
        <v>6.04</v>
      </c>
      <c r="F209" s="57" t="n">
        <v>6.13</v>
      </c>
      <c r="G209" s="57" t="n">
        <v>6.44</v>
      </c>
      <c r="H209" s="57" t="n">
        <v>5.29</v>
      </c>
      <c r="I209" s="75" t="n">
        <v>6.48</v>
      </c>
      <c r="J209" s="76" t="n">
        <v>7.2</v>
      </c>
      <c r="K209" s="77" t="n">
        <v>0</v>
      </c>
    </row>
    <row r="210" customFormat="false" ht="15" hidden="false" customHeight="true" outlineLevel="0" collapsed="false">
      <c r="A210" s="66" t="n">
        <v>3</v>
      </c>
      <c r="B210" s="62" t="s">
        <v>6</v>
      </c>
      <c r="C210" s="62" t="s">
        <v>667</v>
      </c>
      <c r="D210" s="78" t="n">
        <v>6.22</v>
      </c>
      <c r="E210" s="78" t="n">
        <v>6.33</v>
      </c>
      <c r="F210" s="57" t="n">
        <v>5.68</v>
      </c>
      <c r="G210" s="57" t="n">
        <v>6.24</v>
      </c>
      <c r="H210" s="75" t="n">
        <v>6.58</v>
      </c>
      <c r="I210" s="57" t="n">
        <v>6.33</v>
      </c>
      <c r="J210" s="79" t="n">
        <v>7.8</v>
      </c>
      <c r="K210" s="80" t="n">
        <v>0</v>
      </c>
    </row>
    <row r="211" customFormat="false" ht="15" hidden="false" customHeight="true" outlineLevel="0" collapsed="false">
      <c r="A211" s="68" t="n">
        <v>4</v>
      </c>
      <c r="B211" s="69" t="s">
        <v>5</v>
      </c>
      <c r="C211" s="69" t="s">
        <v>631</v>
      </c>
      <c r="D211" s="57" t="n">
        <v>6.09</v>
      </c>
      <c r="E211" s="57" t="n">
        <v>6.11</v>
      </c>
      <c r="F211" s="57" t="n">
        <v>5.59</v>
      </c>
      <c r="G211" s="75" t="n">
        <v>6.5</v>
      </c>
      <c r="H211" s="57" t="n">
        <v>5.8</v>
      </c>
      <c r="I211" s="57" t="n">
        <v>6.41</v>
      </c>
      <c r="J211" s="81" t="n">
        <v>9</v>
      </c>
      <c r="K211" s="82" t="n">
        <v>0</v>
      </c>
    </row>
    <row r="212" customFormat="false" ht="15" hidden="false" customHeight="true" outlineLevel="0" collapsed="false">
      <c r="A212" s="68" t="n">
        <v>5</v>
      </c>
      <c r="B212" s="69" t="s">
        <v>5</v>
      </c>
      <c r="C212" s="69" t="s">
        <v>632</v>
      </c>
      <c r="D212" s="57" t="n">
        <v>6.08</v>
      </c>
      <c r="E212" s="57" t="n">
        <v>6.12</v>
      </c>
      <c r="F212" s="57" t="n">
        <v>5.53</v>
      </c>
      <c r="G212" s="78" t="n">
        <v>6.51</v>
      </c>
      <c r="H212" s="57" t="n">
        <v>5.8</v>
      </c>
      <c r="I212" s="57" t="n">
        <v>6.44</v>
      </c>
      <c r="J212" s="81" t="n">
        <v>9.2</v>
      </c>
      <c r="K212" s="82" t="n">
        <v>0</v>
      </c>
    </row>
    <row r="213" customFormat="false" ht="15" hidden="false" customHeight="true" outlineLevel="0" collapsed="false">
      <c r="A213" s="68" t="n">
        <v>6</v>
      </c>
      <c r="B213" s="69" t="s">
        <v>5</v>
      </c>
      <c r="C213" s="69" t="s">
        <v>633</v>
      </c>
      <c r="D213" s="57" t="n">
        <v>6.06</v>
      </c>
      <c r="E213" s="57" t="n">
        <v>6.06</v>
      </c>
      <c r="F213" s="57" t="n">
        <v>5.66</v>
      </c>
      <c r="G213" s="57" t="n">
        <v>6.44</v>
      </c>
      <c r="H213" s="57" t="n">
        <v>5.76</v>
      </c>
      <c r="I213" s="57" t="n">
        <v>6.41</v>
      </c>
      <c r="J213" s="81" t="n">
        <v>9.5</v>
      </c>
      <c r="K213" s="82" t="n">
        <v>0</v>
      </c>
    </row>
    <row r="214" customFormat="false" ht="15" hidden="false" customHeight="true" outlineLevel="0" collapsed="false">
      <c r="A214" s="67" t="n">
        <v>7</v>
      </c>
      <c r="B214" s="54" t="s">
        <v>4</v>
      </c>
      <c r="C214" s="54" t="s">
        <v>568</v>
      </c>
      <c r="D214" s="57" t="n">
        <v>6.03</v>
      </c>
      <c r="E214" s="57" t="n">
        <v>5.91</v>
      </c>
      <c r="F214" s="57" t="n">
        <v>6.07</v>
      </c>
      <c r="G214" s="57" t="n">
        <v>6.26</v>
      </c>
      <c r="H214" s="57" t="n">
        <v>5.22</v>
      </c>
      <c r="I214" s="78" t="n">
        <v>6.52</v>
      </c>
      <c r="J214" s="76" t="n">
        <v>9.8</v>
      </c>
      <c r="K214" s="77" t="n">
        <v>0</v>
      </c>
    </row>
    <row r="215" customFormat="false" ht="15" hidden="false" customHeight="true" outlineLevel="0" collapsed="false">
      <c r="A215" s="66" t="n">
        <v>8</v>
      </c>
      <c r="B215" s="62" t="s">
        <v>6</v>
      </c>
      <c r="C215" s="62" t="s">
        <v>668</v>
      </c>
      <c r="D215" s="75" t="n">
        <v>6.19</v>
      </c>
      <c r="E215" s="74" t="n">
        <v>6.36</v>
      </c>
      <c r="F215" s="57" t="n">
        <v>5.5</v>
      </c>
      <c r="G215" s="57" t="n">
        <v>6.37</v>
      </c>
      <c r="H215" s="78" t="n">
        <v>6.63</v>
      </c>
      <c r="I215" s="57" t="n">
        <v>6.09</v>
      </c>
      <c r="J215" s="79" t="n">
        <v>10.7</v>
      </c>
      <c r="K215" s="80" t="n">
        <v>1</v>
      </c>
    </row>
    <row r="216" customFormat="false" ht="15" hidden="false" customHeight="true" outlineLevel="0" collapsed="false">
      <c r="A216" s="66" t="n">
        <v>9</v>
      </c>
      <c r="B216" s="62" t="s">
        <v>6</v>
      </c>
      <c r="C216" s="62" t="s">
        <v>669</v>
      </c>
      <c r="D216" s="57" t="n">
        <v>6.14</v>
      </c>
      <c r="E216" s="57" t="n">
        <v>6.25</v>
      </c>
      <c r="F216" s="57" t="n">
        <v>5.58</v>
      </c>
      <c r="G216" s="57" t="n">
        <v>6.16</v>
      </c>
      <c r="H216" s="74" t="n">
        <v>6.66</v>
      </c>
      <c r="I216" s="57" t="n">
        <v>6.09</v>
      </c>
      <c r="J216" s="79" t="n">
        <v>11.2</v>
      </c>
      <c r="K216" s="80" t="n">
        <v>1</v>
      </c>
    </row>
    <row r="217" customFormat="false" ht="15" hidden="false" customHeight="true" outlineLevel="0" collapsed="false">
      <c r="A217" s="67" t="n">
        <v>10</v>
      </c>
      <c r="B217" s="54" t="s">
        <v>4</v>
      </c>
      <c r="C217" s="54" t="s">
        <v>671</v>
      </c>
      <c r="D217" s="57" t="n">
        <v>5.99</v>
      </c>
      <c r="E217" s="57" t="n">
        <v>5.87</v>
      </c>
      <c r="F217" s="57" t="n">
        <v>6.16</v>
      </c>
      <c r="G217" s="57" t="n">
        <v>6.08</v>
      </c>
      <c r="H217" s="57" t="n">
        <v>5.15</v>
      </c>
      <c r="I217" s="57" t="n">
        <v>6.35</v>
      </c>
      <c r="J217" s="76" t="n">
        <v>12.7</v>
      </c>
      <c r="K217" s="77" t="n">
        <v>0</v>
      </c>
    </row>
    <row r="218" customFormat="false" ht="15" hidden="false" customHeight="true" outlineLevel="0" collapsed="false">
      <c r="A218" s="67" t="n">
        <v>11</v>
      </c>
      <c r="B218" s="54" t="s">
        <v>4</v>
      </c>
      <c r="C218" s="54" t="s">
        <v>570</v>
      </c>
      <c r="D218" s="57" t="n">
        <v>5.98</v>
      </c>
      <c r="E218" s="57" t="n">
        <v>5.86</v>
      </c>
      <c r="F218" s="57" t="n">
        <v>6.16</v>
      </c>
      <c r="G218" s="57" t="n">
        <v>6.03</v>
      </c>
      <c r="H218" s="57" t="n">
        <v>5.18</v>
      </c>
      <c r="I218" s="57" t="n">
        <v>6.37</v>
      </c>
      <c r="J218" s="76" t="n">
        <v>12.8</v>
      </c>
      <c r="K218" s="77" t="n">
        <v>0</v>
      </c>
    </row>
    <row r="219" customFormat="false" ht="15" hidden="false" customHeight="true" outlineLevel="0" collapsed="false">
      <c r="A219" s="68" t="n">
        <v>12</v>
      </c>
      <c r="B219" s="69" t="s">
        <v>5</v>
      </c>
      <c r="C219" s="69" t="s">
        <v>634</v>
      </c>
      <c r="D219" s="57" t="n">
        <v>6.01</v>
      </c>
      <c r="E219" s="57" t="n">
        <v>6.05</v>
      </c>
      <c r="F219" s="57" t="n">
        <v>5.38</v>
      </c>
      <c r="G219" s="57" t="n">
        <v>6.44</v>
      </c>
      <c r="H219" s="57" t="n">
        <v>6.02</v>
      </c>
      <c r="I219" s="57" t="n">
        <v>6.18</v>
      </c>
      <c r="J219" s="81" t="n">
        <v>14</v>
      </c>
      <c r="K219" s="82" t="n">
        <v>0</v>
      </c>
    </row>
    <row r="220" customFormat="false" ht="15" hidden="false" customHeight="true" outlineLevel="0" collapsed="false">
      <c r="A220" s="67" t="n">
        <v>13</v>
      </c>
      <c r="B220" s="54" t="s">
        <v>4</v>
      </c>
      <c r="C220" s="54" t="s">
        <v>672</v>
      </c>
      <c r="D220" s="57" t="n">
        <v>5.92</v>
      </c>
      <c r="E220" s="57" t="n">
        <v>5.77</v>
      </c>
      <c r="F220" s="57" t="n">
        <v>6.19</v>
      </c>
      <c r="G220" s="57" t="n">
        <v>5.99</v>
      </c>
      <c r="H220" s="57" t="n">
        <v>5.03</v>
      </c>
      <c r="I220" s="57" t="n">
        <v>6.43</v>
      </c>
      <c r="J220" s="76" t="n">
        <v>14.7</v>
      </c>
      <c r="K220" s="77" t="n">
        <v>0</v>
      </c>
    </row>
    <row r="221" customFormat="false" ht="15" hidden="false" customHeight="true" outlineLevel="0" collapsed="false">
      <c r="A221" s="67" t="n">
        <v>14</v>
      </c>
      <c r="B221" s="54" t="s">
        <v>4</v>
      </c>
      <c r="C221" s="54" t="s">
        <v>572</v>
      </c>
      <c r="D221" s="57" t="n">
        <v>5.89</v>
      </c>
      <c r="E221" s="57" t="n">
        <v>5.81</v>
      </c>
      <c r="F221" s="57" t="n">
        <v>5.94</v>
      </c>
      <c r="G221" s="57" t="n">
        <v>6.02</v>
      </c>
      <c r="H221" s="57" t="n">
        <v>5.15</v>
      </c>
      <c r="I221" s="57" t="n">
        <v>6.38</v>
      </c>
      <c r="J221" s="76" t="n">
        <v>15</v>
      </c>
      <c r="K221" s="77" t="n">
        <v>0</v>
      </c>
    </row>
    <row r="222" customFormat="false" ht="15" hidden="false" customHeight="true" outlineLevel="0" collapsed="false">
      <c r="A222" s="68" t="n">
        <v>15</v>
      </c>
      <c r="B222" s="69" t="s">
        <v>5</v>
      </c>
      <c r="C222" s="69" t="s">
        <v>635</v>
      </c>
      <c r="D222" s="57" t="n">
        <v>5.91</v>
      </c>
      <c r="E222" s="57" t="n">
        <v>5.97</v>
      </c>
      <c r="F222" s="57" t="n">
        <v>5.41</v>
      </c>
      <c r="G222" s="57" t="n">
        <v>6.27</v>
      </c>
      <c r="H222" s="57" t="n">
        <v>5.72</v>
      </c>
      <c r="I222" s="57" t="n">
        <v>6.25</v>
      </c>
      <c r="J222" s="81" t="n">
        <v>15.2</v>
      </c>
      <c r="K222" s="82" t="n">
        <v>0</v>
      </c>
    </row>
    <row r="225" customFormat="false" ht="17.25" hidden="false" customHeight="true" outlineLevel="0" collapsed="false">
      <c r="B225" s="37" t="s">
        <v>685</v>
      </c>
      <c r="C225" s="37"/>
      <c r="D225" s="37"/>
      <c r="E225" s="37"/>
      <c r="F225" s="37"/>
      <c r="G225" s="37"/>
      <c r="H225" s="37"/>
      <c r="I225" s="37"/>
      <c r="J225" s="37"/>
    </row>
    <row r="227" customFormat="false" ht="15" hidden="false" customHeight="true" outlineLevel="0" collapsed="false">
      <c r="B227" s="83" t="s">
        <v>519</v>
      </c>
      <c r="C227" s="83"/>
      <c r="D227" s="83"/>
      <c r="E227" s="83"/>
      <c r="F227" s="83"/>
    </row>
    <row r="228" customFormat="false" ht="15" hidden="false" customHeight="true" outlineLevel="0" collapsed="false">
      <c r="B228" s="45" t="s">
        <v>686</v>
      </c>
      <c r="C228" s="54" t="s">
        <v>4</v>
      </c>
      <c r="D228" s="54" t="s">
        <v>666</v>
      </c>
      <c r="E228" s="84" t="n">
        <v>6.46</v>
      </c>
    </row>
    <row r="229" customFormat="false" ht="15" hidden="false" customHeight="true" outlineLevel="0" collapsed="false">
      <c r="B229" s="45" t="s">
        <v>687</v>
      </c>
      <c r="C229" s="62" t="s">
        <v>6</v>
      </c>
      <c r="D229" s="62" t="s">
        <v>667</v>
      </c>
      <c r="E229" s="84" t="n">
        <v>6.22</v>
      </c>
    </row>
    <row r="230" customFormat="false" ht="15" hidden="false" customHeight="true" outlineLevel="0" collapsed="false">
      <c r="B230" s="45" t="s">
        <v>688</v>
      </c>
      <c r="C230" s="62" t="s">
        <v>6</v>
      </c>
      <c r="D230" s="62" t="s">
        <v>668</v>
      </c>
      <c r="E230" s="84" t="n">
        <v>6.19</v>
      </c>
    </row>
    <row r="231" customFormat="false" ht="15" hidden="false" customHeight="true" outlineLevel="0" collapsed="false">
      <c r="B231" s="45" t="s">
        <v>531</v>
      </c>
      <c r="C231" s="62" t="s">
        <v>6</v>
      </c>
      <c r="D231" s="62" t="s">
        <v>669</v>
      </c>
      <c r="E231" s="84" t="n">
        <v>6.14</v>
      </c>
    </row>
    <row r="232" customFormat="false" ht="15" hidden="false" customHeight="true" outlineLevel="0" collapsed="false">
      <c r="B232" s="45" t="s">
        <v>689</v>
      </c>
      <c r="C232" s="54" t="s">
        <v>4</v>
      </c>
      <c r="D232" s="54" t="s">
        <v>670</v>
      </c>
      <c r="E232" s="84" t="n">
        <v>6.13</v>
      </c>
    </row>
    <row r="234" customFormat="false" ht="15" hidden="false" customHeight="true" outlineLevel="0" collapsed="false">
      <c r="B234" s="83" t="s">
        <v>521</v>
      </c>
      <c r="C234" s="83"/>
      <c r="D234" s="83"/>
      <c r="E234" s="83"/>
      <c r="F234" s="83"/>
    </row>
    <row r="235" customFormat="false" ht="15" hidden="false" customHeight="true" outlineLevel="0" collapsed="false">
      <c r="B235" s="45" t="s">
        <v>686</v>
      </c>
      <c r="C235" s="62" t="s">
        <v>6</v>
      </c>
      <c r="D235" s="62" t="s">
        <v>668</v>
      </c>
      <c r="E235" s="84" t="n">
        <v>6.36</v>
      </c>
    </row>
    <row r="236" customFormat="false" ht="15" hidden="false" customHeight="true" outlineLevel="0" collapsed="false">
      <c r="B236" s="45" t="s">
        <v>687</v>
      </c>
      <c r="C236" s="62" t="s">
        <v>6</v>
      </c>
      <c r="D236" s="62" t="s">
        <v>667</v>
      </c>
      <c r="E236" s="84" t="n">
        <v>6.33</v>
      </c>
    </row>
    <row r="237" customFormat="false" ht="15" hidden="false" customHeight="true" outlineLevel="0" collapsed="false">
      <c r="B237" s="45" t="s">
        <v>688</v>
      </c>
      <c r="C237" s="54" t="s">
        <v>4</v>
      </c>
      <c r="D237" s="54" t="s">
        <v>666</v>
      </c>
      <c r="E237" s="84" t="n">
        <v>6.26</v>
      </c>
    </row>
    <row r="238" customFormat="false" ht="15" hidden="false" customHeight="true" outlineLevel="0" collapsed="false">
      <c r="B238" s="45" t="s">
        <v>531</v>
      </c>
      <c r="C238" s="62" t="s">
        <v>6</v>
      </c>
      <c r="D238" s="62" t="s">
        <v>669</v>
      </c>
      <c r="E238" s="84" t="n">
        <v>6.25</v>
      </c>
    </row>
    <row r="239" customFormat="false" ht="15" hidden="false" customHeight="true" outlineLevel="0" collapsed="false">
      <c r="B239" s="45" t="s">
        <v>689</v>
      </c>
      <c r="C239" s="69" t="s">
        <v>5</v>
      </c>
      <c r="D239" s="69" t="s">
        <v>632</v>
      </c>
      <c r="E239" s="84" t="n">
        <v>6.12</v>
      </c>
    </row>
    <row r="241" customFormat="false" ht="15" hidden="false" customHeight="true" outlineLevel="0" collapsed="false">
      <c r="B241" s="83" t="s">
        <v>522</v>
      </c>
      <c r="C241" s="83"/>
      <c r="D241" s="83"/>
      <c r="E241" s="83"/>
      <c r="F241" s="83"/>
    </row>
    <row r="242" customFormat="false" ht="15" hidden="false" customHeight="true" outlineLevel="0" collapsed="false">
      <c r="B242" s="45" t="s">
        <v>686</v>
      </c>
      <c r="C242" s="54" t="s">
        <v>4</v>
      </c>
      <c r="D242" s="54" t="s">
        <v>666</v>
      </c>
      <c r="E242" s="84" t="n">
        <v>6.65</v>
      </c>
    </row>
    <row r="243" customFormat="false" ht="15" hidden="false" customHeight="true" outlineLevel="0" collapsed="false">
      <c r="B243" s="45" t="s">
        <v>687</v>
      </c>
      <c r="C243" s="54" t="s">
        <v>4</v>
      </c>
      <c r="D243" s="54" t="s">
        <v>577</v>
      </c>
      <c r="E243" s="84" t="n">
        <v>6.35</v>
      </c>
    </row>
    <row r="244" customFormat="false" ht="15" hidden="false" customHeight="true" outlineLevel="0" collapsed="false">
      <c r="B244" s="45" t="s">
        <v>688</v>
      </c>
      <c r="C244" s="54" t="s">
        <v>4</v>
      </c>
      <c r="D244" s="54" t="s">
        <v>583</v>
      </c>
      <c r="E244" s="84" t="n">
        <v>6.22</v>
      </c>
    </row>
    <row r="245" customFormat="false" ht="15" hidden="false" customHeight="true" outlineLevel="0" collapsed="false">
      <c r="B245" s="45" t="s">
        <v>531</v>
      </c>
      <c r="C245" s="54" t="s">
        <v>4</v>
      </c>
      <c r="D245" s="54" t="s">
        <v>672</v>
      </c>
      <c r="E245" s="84" t="n">
        <v>6.19</v>
      </c>
    </row>
    <row r="246" customFormat="false" ht="15" hidden="false" customHeight="true" outlineLevel="0" collapsed="false">
      <c r="B246" s="45" t="s">
        <v>689</v>
      </c>
      <c r="C246" s="54" t="s">
        <v>4</v>
      </c>
      <c r="D246" s="54" t="s">
        <v>570</v>
      </c>
      <c r="E246" s="84" t="n">
        <v>6.16</v>
      </c>
    </row>
    <row r="248" customFormat="false" ht="15" hidden="false" customHeight="true" outlineLevel="0" collapsed="false">
      <c r="B248" s="83" t="s">
        <v>523</v>
      </c>
      <c r="C248" s="83"/>
      <c r="D248" s="83"/>
      <c r="E248" s="83"/>
      <c r="F248" s="83"/>
    </row>
    <row r="249" customFormat="false" ht="15" hidden="false" customHeight="true" outlineLevel="0" collapsed="false">
      <c r="B249" s="45" t="s">
        <v>686</v>
      </c>
      <c r="C249" s="54" t="s">
        <v>4</v>
      </c>
      <c r="D249" s="54" t="s">
        <v>666</v>
      </c>
      <c r="E249" s="84" t="n">
        <v>6.79</v>
      </c>
    </row>
    <row r="250" customFormat="false" ht="15" hidden="false" customHeight="true" outlineLevel="0" collapsed="false">
      <c r="B250" s="45" t="s">
        <v>687</v>
      </c>
      <c r="C250" s="69" t="s">
        <v>5</v>
      </c>
      <c r="D250" s="69" t="s">
        <v>632</v>
      </c>
      <c r="E250" s="84" t="n">
        <v>6.51</v>
      </c>
    </row>
    <row r="251" customFormat="false" ht="15" hidden="false" customHeight="true" outlineLevel="0" collapsed="false">
      <c r="B251" s="45" t="s">
        <v>688</v>
      </c>
      <c r="C251" s="69" t="s">
        <v>5</v>
      </c>
      <c r="D251" s="69" t="s">
        <v>631</v>
      </c>
      <c r="E251" s="84" t="n">
        <v>6.5</v>
      </c>
    </row>
    <row r="252" customFormat="false" ht="15" hidden="false" customHeight="true" outlineLevel="0" collapsed="false">
      <c r="B252" s="45" t="s">
        <v>531</v>
      </c>
      <c r="C252" s="54" t="s">
        <v>4</v>
      </c>
      <c r="D252" s="54" t="s">
        <v>670</v>
      </c>
      <c r="E252" s="84" t="n">
        <v>6.44</v>
      </c>
    </row>
    <row r="253" customFormat="false" ht="15" hidden="false" customHeight="true" outlineLevel="0" collapsed="false">
      <c r="B253" s="45" t="s">
        <v>689</v>
      </c>
      <c r="C253" s="69" t="s">
        <v>5</v>
      </c>
      <c r="D253" s="69" t="s">
        <v>633</v>
      </c>
      <c r="E253" s="84" t="n">
        <v>6.44</v>
      </c>
    </row>
    <row r="255" customFormat="false" ht="15" hidden="false" customHeight="true" outlineLevel="0" collapsed="false">
      <c r="B255" s="83" t="s">
        <v>524</v>
      </c>
      <c r="C255" s="83"/>
      <c r="D255" s="83"/>
      <c r="E255" s="83"/>
      <c r="F255" s="83"/>
    </row>
    <row r="256" customFormat="false" ht="15" hidden="false" customHeight="true" outlineLevel="0" collapsed="false">
      <c r="B256" s="45" t="s">
        <v>686</v>
      </c>
      <c r="C256" s="62" t="s">
        <v>6</v>
      </c>
      <c r="D256" s="62" t="s">
        <v>669</v>
      </c>
      <c r="E256" s="84" t="n">
        <v>6.66</v>
      </c>
    </row>
    <row r="257" customFormat="false" ht="15" hidden="false" customHeight="true" outlineLevel="0" collapsed="false">
      <c r="B257" s="45" t="s">
        <v>687</v>
      </c>
      <c r="C257" s="62" t="s">
        <v>6</v>
      </c>
      <c r="D257" s="62" t="s">
        <v>668</v>
      </c>
      <c r="E257" s="84" t="n">
        <v>6.63</v>
      </c>
    </row>
    <row r="258" customFormat="false" ht="15" hidden="false" customHeight="true" outlineLevel="0" collapsed="false">
      <c r="B258" s="45" t="s">
        <v>688</v>
      </c>
      <c r="C258" s="62" t="s">
        <v>6</v>
      </c>
      <c r="D258" s="62" t="s">
        <v>667</v>
      </c>
      <c r="E258" s="84" t="n">
        <v>6.58</v>
      </c>
    </row>
    <row r="259" customFormat="false" ht="15" hidden="false" customHeight="true" outlineLevel="0" collapsed="false">
      <c r="B259" s="45" t="s">
        <v>531</v>
      </c>
      <c r="C259" s="72" t="s">
        <v>7</v>
      </c>
      <c r="D259" s="72" t="s">
        <v>644</v>
      </c>
      <c r="E259" s="84" t="n">
        <v>6.33</v>
      </c>
    </row>
    <row r="260" customFormat="false" ht="15" hidden="false" customHeight="true" outlineLevel="0" collapsed="false">
      <c r="B260" s="45" t="s">
        <v>689</v>
      </c>
      <c r="C260" s="72" t="s">
        <v>7</v>
      </c>
      <c r="D260" s="72" t="s">
        <v>674</v>
      </c>
      <c r="E260" s="84" t="n">
        <v>6.32</v>
      </c>
    </row>
    <row r="262" customFormat="false" ht="15" hidden="false" customHeight="true" outlineLevel="0" collapsed="false">
      <c r="B262" s="83" t="s">
        <v>526</v>
      </c>
      <c r="C262" s="83"/>
      <c r="D262" s="83"/>
      <c r="E262" s="83"/>
      <c r="F262" s="83"/>
    </row>
    <row r="263" customFormat="false" ht="15" hidden="false" customHeight="true" outlineLevel="0" collapsed="false">
      <c r="B263" s="45" t="s">
        <v>686</v>
      </c>
      <c r="C263" s="54" t="s">
        <v>4</v>
      </c>
      <c r="D263" s="54" t="s">
        <v>666</v>
      </c>
      <c r="E263" s="84" t="n">
        <v>6.95</v>
      </c>
    </row>
    <row r="264" customFormat="false" ht="15" hidden="false" customHeight="true" outlineLevel="0" collapsed="false">
      <c r="B264" s="45" t="s">
        <v>687</v>
      </c>
      <c r="C264" s="54" t="s">
        <v>4</v>
      </c>
      <c r="D264" s="54" t="s">
        <v>568</v>
      </c>
      <c r="E264" s="84" t="n">
        <v>6.52</v>
      </c>
    </row>
    <row r="265" customFormat="false" ht="15" hidden="false" customHeight="true" outlineLevel="0" collapsed="false">
      <c r="B265" s="45" t="s">
        <v>688</v>
      </c>
      <c r="C265" s="54" t="s">
        <v>4</v>
      </c>
      <c r="D265" s="54" t="s">
        <v>670</v>
      </c>
      <c r="E265" s="84" t="n">
        <v>6.48</v>
      </c>
    </row>
    <row r="266" customFormat="false" ht="15" hidden="false" customHeight="true" outlineLevel="0" collapsed="false">
      <c r="B266" s="45" t="s">
        <v>531</v>
      </c>
      <c r="C266" s="69" t="s">
        <v>5</v>
      </c>
      <c r="D266" s="69" t="s">
        <v>632</v>
      </c>
      <c r="E266" s="84" t="n">
        <v>6.44</v>
      </c>
    </row>
    <row r="267" customFormat="false" ht="15" hidden="false" customHeight="true" outlineLevel="0" collapsed="false">
      <c r="B267" s="45" t="s">
        <v>689</v>
      </c>
      <c r="C267" s="54" t="s">
        <v>4</v>
      </c>
      <c r="D267" s="54" t="s">
        <v>672</v>
      </c>
      <c r="E267" s="84" t="n">
        <v>6.43</v>
      </c>
    </row>
    <row r="270" customFormat="false" ht="17.25" hidden="false" customHeight="true" outlineLevel="0" collapsed="false">
      <c r="B270" s="37" t="s">
        <v>690</v>
      </c>
      <c r="C270" s="37"/>
      <c r="D270" s="37"/>
      <c r="E270" s="37"/>
      <c r="F270" s="37"/>
      <c r="G270" s="37"/>
      <c r="H270" s="37"/>
      <c r="I270" s="37"/>
      <c r="J270" s="37"/>
    </row>
    <row r="272" customFormat="false" ht="15" hidden="false" customHeight="true" outlineLevel="0" collapsed="false">
      <c r="B272" s="85" t="s">
        <v>691</v>
      </c>
      <c r="C272" s="85"/>
      <c r="D272" s="85"/>
      <c r="E272" s="85"/>
      <c r="F272" s="85"/>
      <c r="G272" s="85"/>
    </row>
    <row r="273" customFormat="false" ht="15" hidden="false" customHeight="true" outlineLevel="0" collapsed="false">
      <c r="B273" s="40" t="s">
        <v>648</v>
      </c>
      <c r="C273" s="41" t="s">
        <v>650</v>
      </c>
      <c r="D273" s="40" t="s">
        <v>519</v>
      </c>
      <c r="E273" s="40" t="s">
        <v>692</v>
      </c>
      <c r="F273" s="40" t="s">
        <v>693</v>
      </c>
      <c r="G273" s="41" t="s">
        <v>694</v>
      </c>
    </row>
    <row r="274" customFormat="false" ht="15" hidden="false" customHeight="true" outlineLevel="0" collapsed="false">
      <c r="B274" s="86" t="n">
        <v>1</v>
      </c>
      <c r="C274" s="87" t="s">
        <v>666</v>
      </c>
      <c r="D274" s="57" t="n">
        <v>6.46</v>
      </c>
      <c r="E274" s="10" t="s">
        <v>526</v>
      </c>
      <c r="F274" s="57" t="n">
        <v>6.95</v>
      </c>
      <c r="G274" s="88" t="s">
        <v>695</v>
      </c>
    </row>
    <row r="275" customFormat="false" ht="15" hidden="false" customHeight="true" outlineLevel="0" collapsed="false">
      <c r="B275" s="86" t="n">
        <v>2</v>
      </c>
      <c r="C275" s="87" t="s">
        <v>670</v>
      </c>
      <c r="D275" s="57" t="n">
        <v>6.13</v>
      </c>
      <c r="E275" s="10" t="s">
        <v>526</v>
      </c>
      <c r="F275" s="57" t="n">
        <v>6.48</v>
      </c>
      <c r="G275" s="88" t="s">
        <v>696</v>
      </c>
    </row>
    <row r="276" customFormat="false" ht="15" hidden="false" customHeight="true" outlineLevel="0" collapsed="false">
      <c r="B276" s="86" t="n">
        <v>3</v>
      </c>
      <c r="C276" s="87" t="s">
        <v>568</v>
      </c>
      <c r="D276" s="57" t="n">
        <v>6.03</v>
      </c>
      <c r="E276" s="10" t="s">
        <v>526</v>
      </c>
      <c r="F276" s="57" t="n">
        <v>6.52</v>
      </c>
      <c r="G276" s="88" t="s">
        <v>697</v>
      </c>
    </row>
    <row r="277" customFormat="false" ht="15" hidden="false" customHeight="true" outlineLevel="0" collapsed="false">
      <c r="B277" s="67" t="n">
        <v>4</v>
      </c>
      <c r="C277" s="54" t="s">
        <v>671</v>
      </c>
      <c r="D277" s="84" t="n">
        <v>5.99</v>
      </c>
      <c r="E277" s="45" t="s">
        <v>526</v>
      </c>
      <c r="F277" s="84" t="n">
        <v>6.35</v>
      </c>
      <c r="G277" s="89" t="s">
        <v>698</v>
      </c>
    </row>
    <row r="278" customFormat="false" ht="15" hidden="false" customHeight="true" outlineLevel="0" collapsed="false">
      <c r="B278" s="67" t="n">
        <v>5</v>
      </c>
      <c r="C278" s="54" t="s">
        <v>570</v>
      </c>
      <c r="D278" s="84" t="n">
        <v>5.98</v>
      </c>
      <c r="E278" s="45" t="s">
        <v>526</v>
      </c>
      <c r="F278" s="84" t="n">
        <v>6.37</v>
      </c>
      <c r="G278" s="89" t="s">
        <v>699</v>
      </c>
    </row>
    <row r="279" customFormat="false" ht="15" hidden="false" customHeight="true" outlineLevel="0" collapsed="false">
      <c r="B279" s="67" t="n">
        <v>6</v>
      </c>
      <c r="C279" s="54" t="s">
        <v>672</v>
      </c>
      <c r="D279" s="84" t="n">
        <v>5.92</v>
      </c>
      <c r="E279" s="45" t="s">
        <v>526</v>
      </c>
      <c r="F279" s="84" t="n">
        <v>6.43</v>
      </c>
      <c r="G279" s="89" t="s">
        <v>700</v>
      </c>
    </row>
    <row r="280" customFormat="false" ht="15" hidden="false" customHeight="true" outlineLevel="0" collapsed="false">
      <c r="B280" s="67" t="n">
        <v>7</v>
      </c>
      <c r="C280" s="54" t="s">
        <v>572</v>
      </c>
      <c r="D280" s="84" t="n">
        <v>5.89</v>
      </c>
      <c r="E280" s="45" t="s">
        <v>526</v>
      </c>
      <c r="F280" s="84" t="n">
        <v>6.38</v>
      </c>
      <c r="G280" s="89" t="s">
        <v>701</v>
      </c>
    </row>
    <row r="281" customFormat="false" ht="15" hidden="false" customHeight="true" outlineLevel="0" collapsed="false">
      <c r="B281" s="67" t="n">
        <v>8</v>
      </c>
      <c r="C281" s="54" t="s">
        <v>673</v>
      </c>
      <c r="D281" s="84" t="n">
        <v>5.85</v>
      </c>
      <c r="E281" s="45" t="s">
        <v>526</v>
      </c>
      <c r="F281" s="84" t="n">
        <v>6.23</v>
      </c>
      <c r="G281" s="89" t="s">
        <v>702</v>
      </c>
    </row>
    <row r="282" customFormat="false" ht="15" hidden="false" customHeight="true" outlineLevel="0" collapsed="false">
      <c r="B282" s="67" t="n">
        <v>9</v>
      </c>
      <c r="C282" s="54" t="s">
        <v>574</v>
      </c>
      <c r="D282" s="84" t="n">
        <v>5.81</v>
      </c>
      <c r="E282" s="45" t="s">
        <v>526</v>
      </c>
      <c r="F282" s="84" t="n">
        <v>6.28</v>
      </c>
      <c r="G282" s="89" t="s">
        <v>703</v>
      </c>
    </row>
    <row r="283" customFormat="false" ht="15" hidden="false" customHeight="true" outlineLevel="0" collapsed="false">
      <c r="B283" s="67" t="n">
        <v>10</v>
      </c>
      <c r="C283" s="54" t="s">
        <v>575</v>
      </c>
      <c r="D283" s="84" t="n">
        <v>5.77</v>
      </c>
      <c r="E283" s="45" t="s">
        <v>526</v>
      </c>
      <c r="F283" s="84" t="n">
        <v>6.21</v>
      </c>
      <c r="G283" s="89" t="s">
        <v>704</v>
      </c>
    </row>
    <row r="284" customFormat="false" ht="15" hidden="false" customHeight="true" outlineLevel="0" collapsed="false">
      <c r="B284" s="67" t="n">
        <v>11</v>
      </c>
      <c r="C284" s="54" t="s">
        <v>576</v>
      </c>
      <c r="D284" s="84" t="n">
        <v>5.76</v>
      </c>
      <c r="E284" s="45" t="s">
        <v>526</v>
      </c>
      <c r="F284" s="84" t="n">
        <v>6.18</v>
      </c>
      <c r="G284" s="89" t="s">
        <v>705</v>
      </c>
    </row>
    <row r="285" customFormat="false" ht="15" hidden="false" customHeight="true" outlineLevel="0" collapsed="false">
      <c r="B285" s="67" t="n">
        <v>12</v>
      </c>
      <c r="C285" s="54" t="s">
        <v>577</v>
      </c>
      <c r="D285" s="84" t="n">
        <v>5.75</v>
      </c>
      <c r="E285" s="45" t="s">
        <v>522</v>
      </c>
      <c r="F285" s="84" t="n">
        <v>6.35</v>
      </c>
      <c r="G285" s="89" t="s">
        <v>706</v>
      </c>
    </row>
    <row r="286" customFormat="false" ht="15" hidden="false" customHeight="true" outlineLevel="0" collapsed="false">
      <c r="B286" s="67" t="n">
        <v>13</v>
      </c>
      <c r="C286" s="54" t="s">
        <v>675</v>
      </c>
      <c r="D286" s="84" t="n">
        <v>5.7</v>
      </c>
      <c r="E286" s="45" t="s">
        <v>526</v>
      </c>
      <c r="F286" s="84" t="n">
        <v>6</v>
      </c>
      <c r="G286" s="89" t="s">
        <v>707</v>
      </c>
    </row>
    <row r="287" customFormat="false" ht="15" hidden="false" customHeight="true" outlineLevel="0" collapsed="false">
      <c r="B287" s="67" t="n">
        <v>14</v>
      </c>
      <c r="C287" s="54" t="s">
        <v>579</v>
      </c>
      <c r="D287" s="84" t="n">
        <v>5.6</v>
      </c>
      <c r="E287" s="45" t="s">
        <v>526</v>
      </c>
      <c r="F287" s="84" t="n">
        <v>6.03</v>
      </c>
      <c r="G287" s="89" t="s">
        <v>708</v>
      </c>
    </row>
    <row r="288" customFormat="false" ht="15" hidden="false" customHeight="true" outlineLevel="0" collapsed="false">
      <c r="B288" s="67" t="n">
        <v>15</v>
      </c>
      <c r="C288" s="54" t="s">
        <v>580</v>
      </c>
      <c r="D288" s="84" t="n">
        <v>5.6</v>
      </c>
      <c r="E288" s="45" t="s">
        <v>522</v>
      </c>
      <c r="F288" s="84" t="n">
        <v>5.77</v>
      </c>
      <c r="G288" s="89" t="s">
        <v>709</v>
      </c>
    </row>
    <row r="289" customFormat="false" ht="15" hidden="false" customHeight="true" outlineLevel="0" collapsed="false">
      <c r="B289" s="67" t="n">
        <v>16</v>
      </c>
      <c r="C289" s="54" t="s">
        <v>581</v>
      </c>
      <c r="D289" s="84" t="n">
        <v>5.59</v>
      </c>
      <c r="E289" s="45" t="s">
        <v>523</v>
      </c>
      <c r="F289" s="84" t="n">
        <v>5.81</v>
      </c>
      <c r="G289" s="89" t="s">
        <v>710</v>
      </c>
    </row>
    <row r="290" customFormat="false" ht="15" hidden="false" customHeight="true" outlineLevel="0" collapsed="false">
      <c r="B290" s="67" t="n">
        <v>17</v>
      </c>
      <c r="C290" s="54" t="s">
        <v>582</v>
      </c>
      <c r="D290" s="84" t="n">
        <v>5.52</v>
      </c>
      <c r="E290" s="45" t="s">
        <v>526</v>
      </c>
      <c r="F290" s="84" t="n">
        <v>5.87</v>
      </c>
      <c r="G290" s="89" t="s">
        <v>711</v>
      </c>
    </row>
    <row r="291" customFormat="false" ht="15" hidden="false" customHeight="true" outlineLevel="0" collapsed="false">
      <c r="B291" s="67" t="n">
        <v>18</v>
      </c>
      <c r="C291" s="54" t="s">
        <v>583</v>
      </c>
      <c r="D291" s="84" t="n">
        <v>5.49</v>
      </c>
      <c r="E291" s="45" t="s">
        <v>522</v>
      </c>
      <c r="F291" s="84" t="n">
        <v>6.22</v>
      </c>
      <c r="G291" s="89" t="s">
        <v>712</v>
      </c>
    </row>
    <row r="292" customFormat="false" ht="15" hidden="false" customHeight="true" outlineLevel="0" collapsed="false">
      <c r="B292" s="67" t="n">
        <v>19</v>
      </c>
      <c r="C292" s="54" t="s">
        <v>678</v>
      </c>
      <c r="D292" s="84" t="n">
        <v>5.48</v>
      </c>
      <c r="E292" s="45" t="s">
        <v>522</v>
      </c>
      <c r="F292" s="84" t="n">
        <v>5.93</v>
      </c>
      <c r="G292" s="89" t="s">
        <v>713</v>
      </c>
    </row>
    <row r="293" customFormat="false" ht="15" hidden="false" customHeight="true" outlineLevel="0" collapsed="false">
      <c r="B293" s="67" t="n">
        <v>20</v>
      </c>
      <c r="C293" s="54" t="s">
        <v>679</v>
      </c>
      <c r="D293" s="84" t="n">
        <v>5.47</v>
      </c>
      <c r="E293" s="45" t="s">
        <v>526</v>
      </c>
      <c r="F293" s="84" t="n">
        <v>6.01</v>
      </c>
      <c r="G293" s="89" t="s">
        <v>714</v>
      </c>
    </row>
    <row r="294" customFormat="false" ht="15" hidden="false" customHeight="true" outlineLevel="0" collapsed="false">
      <c r="B294" s="67" t="n">
        <v>21</v>
      </c>
      <c r="C294" s="54" t="s">
        <v>586</v>
      </c>
      <c r="D294" s="84" t="n">
        <v>5.41</v>
      </c>
      <c r="E294" s="45" t="s">
        <v>526</v>
      </c>
      <c r="F294" s="84" t="n">
        <v>5.99</v>
      </c>
      <c r="G294" s="89" t="s">
        <v>715</v>
      </c>
    </row>
    <row r="295" customFormat="false" ht="15" hidden="false" customHeight="true" outlineLevel="0" collapsed="false">
      <c r="B295" s="67" t="n">
        <v>22</v>
      </c>
      <c r="C295" s="54" t="s">
        <v>587</v>
      </c>
      <c r="D295" s="84" t="n">
        <v>5.37</v>
      </c>
      <c r="E295" s="45" t="s">
        <v>526</v>
      </c>
      <c r="F295" s="84" t="n">
        <v>5.84</v>
      </c>
      <c r="G295" s="89" t="s">
        <v>716</v>
      </c>
    </row>
    <row r="296" customFormat="false" ht="15" hidden="false" customHeight="true" outlineLevel="0" collapsed="false">
      <c r="B296" s="67" t="n">
        <v>23</v>
      </c>
      <c r="C296" s="54" t="s">
        <v>588</v>
      </c>
      <c r="D296" s="84" t="n">
        <v>5.36</v>
      </c>
      <c r="E296" s="45" t="s">
        <v>526</v>
      </c>
      <c r="F296" s="84" t="n">
        <v>5.81</v>
      </c>
      <c r="G296" s="89" t="s">
        <v>717</v>
      </c>
    </row>
    <row r="297" customFormat="false" ht="15" hidden="false" customHeight="true" outlineLevel="0" collapsed="false">
      <c r="B297" s="67" t="n">
        <v>24</v>
      </c>
      <c r="C297" s="54" t="s">
        <v>589</v>
      </c>
      <c r="D297" s="84" t="n">
        <v>5.34</v>
      </c>
      <c r="E297" s="45" t="s">
        <v>526</v>
      </c>
      <c r="F297" s="84" t="n">
        <v>5.72</v>
      </c>
      <c r="G297" s="89" t="s">
        <v>718</v>
      </c>
    </row>
    <row r="298" customFormat="false" ht="15" hidden="false" customHeight="true" outlineLevel="0" collapsed="false">
      <c r="B298" s="67" t="n">
        <v>25</v>
      </c>
      <c r="C298" s="54" t="s">
        <v>590</v>
      </c>
      <c r="D298" s="84" t="n">
        <v>5.25</v>
      </c>
      <c r="E298" s="45" t="s">
        <v>526</v>
      </c>
      <c r="F298" s="84" t="n">
        <v>5.67</v>
      </c>
      <c r="G298" s="89" t="s">
        <v>719</v>
      </c>
    </row>
    <row r="299" customFormat="false" ht="15" hidden="false" customHeight="true" outlineLevel="0" collapsed="false">
      <c r="B299" s="67" t="n">
        <v>26</v>
      </c>
      <c r="C299" s="54" t="s">
        <v>680</v>
      </c>
      <c r="D299" s="84" t="n">
        <v>5.2</v>
      </c>
      <c r="E299" s="45" t="s">
        <v>522</v>
      </c>
      <c r="F299" s="84" t="n">
        <v>5.75</v>
      </c>
      <c r="G299" s="89" t="s">
        <v>720</v>
      </c>
    </row>
    <row r="300" customFormat="false" ht="15" hidden="false" customHeight="true" outlineLevel="0" collapsed="false">
      <c r="B300" s="67" t="n">
        <v>27</v>
      </c>
      <c r="C300" s="54" t="s">
        <v>592</v>
      </c>
      <c r="D300" s="84" t="n">
        <v>5.19</v>
      </c>
      <c r="E300" s="45" t="s">
        <v>526</v>
      </c>
      <c r="F300" s="84" t="n">
        <v>5.77</v>
      </c>
      <c r="G300" s="89" t="s">
        <v>721</v>
      </c>
    </row>
    <row r="301" customFormat="false" ht="15" hidden="false" customHeight="true" outlineLevel="0" collapsed="false">
      <c r="B301" s="67" t="n">
        <v>28</v>
      </c>
      <c r="C301" s="54" t="s">
        <v>681</v>
      </c>
      <c r="D301" s="84" t="n">
        <v>5.18</v>
      </c>
      <c r="E301" s="45" t="s">
        <v>526</v>
      </c>
      <c r="F301" s="84" t="n">
        <v>5.7</v>
      </c>
      <c r="G301" s="89" t="s">
        <v>722</v>
      </c>
    </row>
    <row r="302" customFormat="false" ht="15" hidden="false" customHeight="true" outlineLevel="0" collapsed="false">
      <c r="B302" s="67" t="n">
        <v>29</v>
      </c>
      <c r="C302" s="54" t="s">
        <v>594</v>
      </c>
      <c r="D302" s="84" t="n">
        <v>5.18</v>
      </c>
      <c r="E302" s="45" t="s">
        <v>526</v>
      </c>
      <c r="F302" s="84" t="n">
        <v>5.61</v>
      </c>
      <c r="G302" s="89" t="s">
        <v>723</v>
      </c>
    </row>
    <row r="304" customFormat="false" ht="15" hidden="false" customHeight="true" outlineLevel="0" collapsed="false">
      <c r="B304" s="90" t="s">
        <v>724</v>
      </c>
      <c r="C304" s="90"/>
      <c r="D304" s="90"/>
      <c r="E304" s="90"/>
      <c r="F304" s="90"/>
      <c r="G304" s="90"/>
    </row>
    <row r="305" customFormat="false" ht="15" hidden="false" customHeight="true" outlineLevel="0" collapsed="false">
      <c r="B305" s="40" t="s">
        <v>648</v>
      </c>
      <c r="C305" s="41" t="s">
        <v>650</v>
      </c>
      <c r="D305" s="40" t="s">
        <v>519</v>
      </c>
      <c r="E305" s="40" t="s">
        <v>692</v>
      </c>
      <c r="F305" s="40" t="s">
        <v>693</v>
      </c>
      <c r="G305" s="41" t="s">
        <v>694</v>
      </c>
    </row>
    <row r="306" customFormat="false" ht="15" hidden="false" customHeight="true" outlineLevel="0" collapsed="false">
      <c r="B306" s="91" t="n">
        <v>1</v>
      </c>
      <c r="C306" s="92" t="s">
        <v>631</v>
      </c>
      <c r="D306" s="57" t="n">
        <v>6.09</v>
      </c>
      <c r="E306" s="10" t="s">
        <v>523</v>
      </c>
      <c r="F306" s="57" t="n">
        <v>6.5</v>
      </c>
      <c r="G306" s="88" t="s">
        <v>725</v>
      </c>
    </row>
    <row r="307" customFormat="false" ht="15" hidden="false" customHeight="true" outlineLevel="0" collapsed="false">
      <c r="B307" s="91" t="n">
        <v>2</v>
      </c>
      <c r="C307" s="92" t="s">
        <v>632</v>
      </c>
      <c r="D307" s="57" t="n">
        <v>6.08</v>
      </c>
      <c r="E307" s="10" t="s">
        <v>523</v>
      </c>
      <c r="F307" s="57" t="n">
        <v>6.51</v>
      </c>
      <c r="G307" s="88" t="s">
        <v>726</v>
      </c>
    </row>
    <row r="308" customFormat="false" ht="15" hidden="false" customHeight="true" outlineLevel="0" collapsed="false">
      <c r="B308" s="91" t="n">
        <v>3</v>
      </c>
      <c r="C308" s="92" t="s">
        <v>633</v>
      </c>
      <c r="D308" s="57" t="n">
        <v>6.06</v>
      </c>
      <c r="E308" s="10" t="s">
        <v>523</v>
      </c>
      <c r="F308" s="57" t="n">
        <v>6.44</v>
      </c>
      <c r="G308" s="88" t="s">
        <v>727</v>
      </c>
    </row>
    <row r="309" customFormat="false" ht="15" hidden="false" customHeight="true" outlineLevel="0" collapsed="false">
      <c r="B309" s="68" t="n">
        <v>4</v>
      </c>
      <c r="C309" s="69" t="s">
        <v>634</v>
      </c>
      <c r="D309" s="84" t="n">
        <v>6.01</v>
      </c>
      <c r="E309" s="45" t="s">
        <v>523</v>
      </c>
      <c r="F309" s="84" t="n">
        <v>6.44</v>
      </c>
      <c r="G309" s="89" t="s">
        <v>728</v>
      </c>
    </row>
    <row r="310" customFormat="false" ht="15" hidden="false" customHeight="true" outlineLevel="0" collapsed="false">
      <c r="B310" s="68" t="n">
        <v>5</v>
      </c>
      <c r="C310" s="69" t="s">
        <v>635</v>
      </c>
      <c r="D310" s="84" t="n">
        <v>5.91</v>
      </c>
      <c r="E310" s="45" t="s">
        <v>523</v>
      </c>
      <c r="F310" s="84" t="n">
        <v>6.27</v>
      </c>
      <c r="G310" s="89" t="s">
        <v>729</v>
      </c>
    </row>
    <row r="311" customFormat="false" ht="15" hidden="false" customHeight="true" outlineLevel="0" collapsed="false">
      <c r="B311" s="68" t="n">
        <v>6</v>
      </c>
      <c r="C311" s="69" t="s">
        <v>636</v>
      </c>
      <c r="D311" s="84" t="n">
        <v>5.84</v>
      </c>
      <c r="E311" s="45" t="s">
        <v>523</v>
      </c>
      <c r="F311" s="84" t="n">
        <v>6.26</v>
      </c>
      <c r="G311" s="89" t="s">
        <v>730</v>
      </c>
    </row>
    <row r="312" customFormat="false" ht="15" hidden="false" customHeight="true" outlineLevel="0" collapsed="false">
      <c r="B312" s="68" t="n">
        <v>7</v>
      </c>
      <c r="C312" s="69" t="s">
        <v>676</v>
      </c>
      <c r="D312" s="84" t="n">
        <v>5.63</v>
      </c>
      <c r="E312" s="45" t="s">
        <v>526</v>
      </c>
      <c r="F312" s="84" t="n">
        <v>5.98</v>
      </c>
      <c r="G312" s="89" t="s">
        <v>731</v>
      </c>
    </row>
    <row r="314" customFormat="false" ht="15" hidden="false" customHeight="true" outlineLevel="0" collapsed="false">
      <c r="B314" s="93" t="s">
        <v>732</v>
      </c>
      <c r="C314" s="93"/>
      <c r="D314" s="93"/>
      <c r="E314" s="93"/>
      <c r="F314" s="93"/>
      <c r="G314" s="93"/>
    </row>
    <row r="315" customFormat="false" ht="15" hidden="false" customHeight="true" outlineLevel="0" collapsed="false">
      <c r="B315" s="40" t="s">
        <v>648</v>
      </c>
      <c r="C315" s="41" t="s">
        <v>650</v>
      </c>
      <c r="D315" s="40" t="s">
        <v>519</v>
      </c>
      <c r="E315" s="40" t="s">
        <v>692</v>
      </c>
      <c r="F315" s="40" t="s">
        <v>693</v>
      </c>
      <c r="G315" s="41" t="s">
        <v>694</v>
      </c>
    </row>
    <row r="316" customFormat="false" ht="15" hidden="false" customHeight="true" outlineLevel="0" collapsed="false">
      <c r="B316" s="94" t="n">
        <v>1</v>
      </c>
      <c r="C316" s="95" t="s">
        <v>667</v>
      </c>
      <c r="D316" s="57" t="n">
        <v>6.22</v>
      </c>
      <c r="E316" s="10" t="s">
        <v>524</v>
      </c>
      <c r="F316" s="57" t="n">
        <v>6.58</v>
      </c>
      <c r="G316" s="88" t="s">
        <v>733</v>
      </c>
    </row>
    <row r="317" customFormat="false" ht="15" hidden="false" customHeight="true" outlineLevel="0" collapsed="false">
      <c r="B317" s="94" t="n">
        <v>2</v>
      </c>
      <c r="C317" s="95" t="s">
        <v>668</v>
      </c>
      <c r="D317" s="57" t="n">
        <v>6.19</v>
      </c>
      <c r="E317" s="10" t="s">
        <v>524</v>
      </c>
      <c r="F317" s="57" t="n">
        <v>6.63</v>
      </c>
      <c r="G317" s="88" t="s">
        <v>734</v>
      </c>
    </row>
    <row r="318" customFormat="false" ht="15" hidden="false" customHeight="true" outlineLevel="0" collapsed="false">
      <c r="B318" s="94" t="n">
        <v>3</v>
      </c>
      <c r="C318" s="95" t="s">
        <v>669</v>
      </c>
      <c r="D318" s="57" t="n">
        <v>6.14</v>
      </c>
      <c r="E318" s="10" t="s">
        <v>524</v>
      </c>
      <c r="F318" s="57" t="n">
        <v>6.66</v>
      </c>
      <c r="G318" s="88" t="s">
        <v>735</v>
      </c>
    </row>
    <row r="320" customFormat="false" ht="15" hidden="false" customHeight="true" outlineLevel="0" collapsed="false">
      <c r="B320" s="96" t="s">
        <v>736</v>
      </c>
      <c r="C320" s="96"/>
      <c r="D320" s="96"/>
      <c r="E320" s="96"/>
      <c r="F320" s="96"/>
      <c r="G320" s="96"/>
    </row>
    <row r="321" customFormat="false" ht="15" hidden="false" customHeight="true" outlineLevel="0" collapsed="false">
      <c r="B321" s="40" t="s">
        <v>648</v>
      </c>
      <c r="C321" s="41" t="s">
        <v>650</v>
      </c>
      <c r="D321" s="40" t="s">
        <v>519</v>
      </c>
      <c r="E321" s="40" t="s">
        <v>692</v>
      </c>
      <c r="F321" s="40" t="s">
        <v>693</v>
      </c>
      <c r="G321" s="41" t="s">
        <v>694</v>
      </c>
    </row>
    <row r="322" customFormat="false" ht="15" hidden="false" customHeight="true" outlineLevel="0" collapsed="false">
      <c r="B322" s="97" t="n">
        <v>1</v>
      </c>
      <c r="C322" s="98" t="s">
        <v>674</v>
      </c>
      <c r="D322" s="57" t="n">
        <v>5.78</v>
      </c>
      <c r="E322" s="10" t="s">
        <v>524</v>
      </c>
      <c r="F322" s="57" t="n">
        <v>6.32</v>
      </c>
      <c r="G322" s="88" t="s">
        <v>737</v>
      </c>
    </row>
    <row r="323" customFormat="false" ht="15" hidden="false" customHeight="true" outlineLevel="0" collapsed="false">
      <c r="B323" s="97" t="n">
        <v>2</v>
      </c>
      <c r="C323" s="98" t="s">
        <v>644</v>
      </c>
      <c r="D323" s="57" t="n">
        <v>5.66</v>
      </c>
      <c r="E323" s="10" t="s">
        <v>524</v>
      </c>
      <c r="F323" s="57" t="n">
        <v>6.33</v>
      </c>
      <c r="G323" s="88" t="s">
        <v>738</v>
      </c>
    </row>
    <row r="324" customFormat="false" ht="15" hidden="false" customHeight="true" outlineLevel="0" collapsed="false">
      <c r="B324" s="97" t="n">
        <v>3</v>
      </c>
      <c r="C324" s="98" t="s">
        <v>677</v>
      </c>
      <c r="D324" s="57" t="n">
        <v>5.62</v>
      </c>
      <c r="E324" s="10" t="s">
        <v>524</v>
      </c>
      <c r="F324" s="57" t="n">
        <v>6.24</v>
      </c>
      <c r="G324" s="88" t="s">
        <v>739</v>
      </c>
    </row>
    <row r="328" customFormat="false" ht="17.25" hidden="false" customHeight="true" outlineLevel="0" collapsed="false">
      <c r="B328" s="37" t="s">
        <v>740</v>
      </c>
      <c r="C328" s="37"/>
      <c r="D328" s="37"/>
      <c r="E328" s="37"/>
      <c r="F328" s="37"/>
      <c r="G328" s="37"/>
      <c r="H328" s="37"/>
      <c r="I328" s="37"/>
      <c r="J328" s="37"/>
    </row>
    <row r="330" customFormat="false" ht="15" hidden="false" customHeight="true" outlineLevel="0" collapsed="false">
      <c r="B330" s="99" t="s">
        <v>741</v>
      </c>
      <c r="C330" s="99"/>
      <c r="D330" s="99"/>
      <c r="E330" s="99"/>
      <c r="F330" s="99"/>
      <c r="G330" s="99"/>
      <c r="H330" s="99"/>
      <c r="I330" s="99"/>
      <c r="J330" s="99"/>
    </row>
    <row r="331" customFormat="false" ht="15" hidden="false" customHeight="true" outlineLevel="0" collapsed="false">
      <c r="B331" s="100" t="s">
        <v>742</v>
      </c>
      <c r="C331" s="100"/>
      <c r="D331" s="100"/>
      <c r="E331" s="100"/>
      <c r="F331" s="100"/>
      <c r="G331" s="100"/>
      <c r="H331" s="100"/>
      <c r="I331" s="100"/>
      <c r="J331" s="100"/>
    </row>
    <row r="332" customFormat="false" ht="15" hidden="false" customHeight="true" outlineLevel="0" collapsed="false">
      <c r="B332" s="100" t="s">
        <v>743</v>
      </c>
      <c r="C332" s="100"/>
      <c r="D332" s="100"/>
      <c r="E332" s="100"/>
      <c r="F332" s="100"/>
      <c r="G332" s="100"/>
      <c r="H332" s="100"/>
      <c r="I332" s="100"/>
      <c r="J332" s="100"/>
    </row>
    <row r="333" customFormat="false" ht="15" hidden="false" customHeight="true" outlineLevel="0" collapsed="false">
      <c r="B333" s="100" t="s">
        <v>744</v>
      </c>
      <c r="C333" s="100"/>
      <c r="D333" s="100"/>
      <c r="E333" s="100"/>
      <c r="F333" s="100"/>
      <c r="G333" s="100"/>
      <c r="H333" s="100"/>
      <c r="I333" s="100"/>
      <c r="J333" s="100"/>
    </row>
    <row r="334" customFormat="false" ht="15" hidden="false" customHeight="true" outlineLevel="0" collapsed="false">
      <c r="B334" s="100" t="s">
        <v>745</v>
      </c>
      <c r="C334" s="100"/>
      <c r="D334" s="100"/>
      <c r="E334" s="100"/>
      <c r="F334" s="100"/>
      <c r="G334" s="100"/>
      <c r="H334" s="100"/>
      <c r="I334" s="100"/>
      <c r="J334" s="100"/>
    </row>
    <row r="335" customFormat="false" ht="15" hidden="false" customHeight="true" outlineLevel="0" collapsed="false">
      <c r="B335" s="100" t="s">
        <v>746</v>
      </c>
      <c r="C335" s="100"/>
      <c r="D335" s="100"/>
      <c r="E335" s="100"/>
      <c r="F335" s="100"/>
      <c r="G335" s="100"/>
      <c r="H335" s="100"/>
      <c r="I335" s="100"/>
      <c r="J335" s="100"/>
    </row>
    <row r="337" customFormat="false" ht="15" hidden="false" customHeight="true" outlineLevel="0" collapsed="false">
      <c r="B337" s="101" t="s">
        <v>747</v>
      </c>
      <c r="C337" s="101"/>
      <c r="D337" s="101"/>
      <c r="E337" s="101"/>
      <c r="F337" s="101"/>
      <c r="G337" s="101"/>
      <c r="H337" s="101"/>
      <c r="I337" s="101"/>
      <c r="J337" s="101"/>
    </row>
    <row r="338" customFormat="false" ht="15" hidden="false" customHeight="true" outlineLevel="0" collapsed="false">
      <c r="B338" s="35" t="s">
        <v>748</v>
      </c>
      <c r="C338" s="35"/>
      <c r="D338" s="35"/>
      <c r="E338" s="35"/>
      <c r="F338" s="35"/>
      <c r="G338" s="35"/>
      <c r="H338" s="35"/>
      <c r="I338" s="35"/>
      <c r="J338" s="35"/>
    </row>
    <row r="340" customFormat="false" ht="15" hidden="false" customHeight="true" outlineLevel="0" collapsed="false">
      <c r="B340" s="35" t="s">
        <v>749</v>
      </c>
      <c r="C340" s="35"/>
      <c r="D340" s="35"/>
      <c r="E340" s="35"/>
      <c r="F340" s="35"/>
      <c r="G340" s="35"/>
      <c r="H340" s="35"/>
      <c r="I340" s="35"/>
      <c r="J340" s="35"/>
    </row>
    <row r="342" customFormat="false" ht="15" hidden="false" customHeight="true" outlineLevel="0" collapsed="false">
      <c r="B342" s="35" t="s">
        <v>750</v>
      </c>
      <c r="C342" s="35"/>
      <c r="D342" s="35"/>
      <c r="E342" s="35"/>
      <c r="F342" s="35"/>
      <c r="G342" s="35"/>
      <c r="H342" s="35"/>
      <c r="I342" s="35"/>
      <c r="J342" s="35"/>
    </row>
    <row r="344" customFormat="false" ht="15" hidden="false" customHeight="true" outlineLevel="0" collapsed="false">
      <c r="B344" s="35" t="s">
        <v>751</v>
      </c>
      <c r="C344" s="35"/>
      <c r="D344" s="35"/>
      <c r="E344" s="35"/>
      <c r="F344" s="35"/>
      <c r="G344" s="35"/>
      <c r="H344" s="35"/>
      <c r="I344" s="35"/>
      <c r="J344" s="35"/>
    </row>
    <row r="346" customFormat="false" ht="15" hidden="false" customHeight="true" outlineLevel="0" collapsed="false">
      <c r="B346" s="35" t="s">
        <v>752</v>
      </c>
      <c r="C346" s="35"/>
      <c r="D346" s="35"/>
      <c r="E346" s="35"/>
      <c r="F346" s="35"/>
      <c r="G346" s="35"/>
      <c r="H346" s="35"/>
      <c r="I346" s="35"/>
      <c r="J346" s="35"/>
    </row>
    <row r="348" customFormat="false" ht="15" hidden="false" customHeight="true" outlineLevel="0" collapsed="false">
      <c r="B348" s="35" t="s">
        <v>753</v>
      </c>
      <c r="C348" s="35"/>
      <c r="D348" s="35"/>
      <c r="E348" s="35"/>
      <c r="F348" s="35"/>
      <c r="G348" s="35"/>
      <c r="H348" s="35"/>
      <c r="I348" s="35"/>
      <c r="J348" s="35"/>
    </row>
    <row r="350" customFormat="false" ht="15" hidden="false" customHeight="true" outlineLevel="0" collapsed="false">
      <c r="B350" s="102" t="s">
        <v>754</v>
      </c>
      <c r="C350" s="102"/>
      <c r="D350" s="102"/>
      <c r="E350" s="102"/>
      <c r="F350" s="102"/>
      <c r="G350" s="102"/>
      <c r="H350" s="102"/>
      <c r="I350" s="102"/>
      <c r="J350" s="102"/>
    </row>
    <row r="351" customFormat="false" ht="15" hidden="false" customHeight="true" outlineLevel="0" collapsed="false">
      <c r="B351" s="103" t="s">
        <v>755</v>
      </c>
      <c r="C351" s="103"/>
      <c r="D351" s="103"/>
      <c r="E351" s="103"/>
      <c r="F351" s="103"/>
      <c r="G351" s="103"/>
      <c r="H351" s="103"/>
      <c r="I351" s="103"/>
      <c r="J351" s="103"/>
    </row>
    <row r="353" customFormat="false" ht="15" hidden="false" customHeight="true" outlineLevel="0" collapsed="false">
      <c r="B353" s="103" t="s">
        <v>756</v>
      </c>
      <c r="C353" s="103"/>
      <c r="D353" s="103"/>
      <c r="E353" s="103"/>
      <c r="F353" s="103"/>
      <c r="G353" s="103"/>
      <c r="H353" s="103"/>
      <c r="I353" s="103"/>
      <c r="J353" s="103"/>
    </row>
    <row r="355" customFormat="false" ht="15" hidden="false" customHeight="true" outlineLevel="0" collapsed="false">
      <c r="B355" s="103" t="s">
        <v>757</v>
      </c>
      <c r="C355" s="103"/>
      <c r="D355" s="103"/>
      <c r="E355" s="103"/>
      <c r="F355" s="103"/>
      <c r="G355" s="103"/>
      <c r="H355" s="103"/>
      <c r="I355" s="103"/>
      <c r="J355" s="103"/>
    </row>
    <row r="357" customFormat="false" ht="15" hidden="false" customHeight="true" outlineLevel="0" collapsed="false">
      <c r="B357" s="103" t="s">
        <v>758</v>
      </c>
      <c r="C357" s="103"/>
      <c r="D357" s="103"/>
      <c r="E357" s="103"/>
      <c r="F357" s="103"/>
      <c r="G357" s="103"/>
      <c r="H357" s="103"/>
      <c r="I357" s="103"/>
      <c r="J357" s="103"/>
    </row>
    <row r="359" customFormat="false" ht="15" hidden="false" customHeight="true" outlineLevel="0" collapsed="false">
      <c r="B359" s="104" t="s">
        <v>759</v>
      </c>
      <c r="C359" s="104"/>
      <c r="D359" s="104"/>
      <c r="E359" s="104"/>
      <c r="F359" s="104"/>
      <c r="G359" s="104"/>
      <c r="H359" s="104"/>
      <c r="I359" s="104"/>
      <c r="J359" s="104"/>
    </row>
  </sheetData>
  <mergeCells count="41">
    <mergeCell ref="B1:H1"/>
    <mergeCell ref="B2:H2"/>
    <mergeCell ref="A4:AF4"/>
    <mergeCell ref="A42:J42"/>
    <mergeCell ref="A80:F80"/>
    <mergeCell ref="A118:F118"/>
    <mergeCell ref="B157:J157"/>
    <mergeCell ref="B158:J158"/>
    <mergeCell ref="B205:J205"/>
    <mergeCell ref="B225:J225"/>
    <mergeCell ref="B227:F227"/>
    <mergeCell ref="B234:F234"/>
    <mergeCell ref="B241:F241"/>
    <mergeCell ref="B248:F248"/>
    <mergeCell ref="B255:F255"/>
    <mergeCell ref="B262:F262"/>
    <mergeCell ref="B270:J270"/>
    <mergeCell ref="B272:G272"/>
    <mergeCell ref="B304:G304"/>
    <mergeCell ref="B314:G314"/>
    <mergeCell ref="B320:G320"/>
    <mergeCell ref="B328:J328"/>
    <mergeCell ref="B330:J330"/>
    <mergeCell ref="B331:J331"/>
    <mergeCell ref="B332:J332"/>
    <mergeCell ref="B333:J333"/>
    <mergeCell ref="B334:J334"/>
    <mergeCell ref="B335:J335"/>
    <mergeCell ref="B337:J337"/>
    <mergeCell ref="B338:J338"/>
    <mergeCell ref="B340:J340"/>
    <mergeCell ref="B342:J342"/>
    <mergeCell ref="B344:J344"/>
    <mergeCell ref="B346:J346"/>
    <mergeCell ref="B348:J348"/>
    <mergeCell ref="B350:J350"/>
    <mergeCell ref="B351:J351"/>
    <mergeCell ref="B353:J353"/>
    <mergeCell ref="B355:J355"/>
    <mergeCell ref="B357:J357"/>
    <mergeCell ref="B359:J3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40"/>
    <col collapsed="false" customWidth="true" hidden="false" outlineLevel="0" max="4" min="4" style="1" width="25"/>
    <col collapsed="false" customWidth="true" hidden="false" outlineLevel="0" max="5" min="5" style="1" width="20"/>
    <col collapsed="false" customWidth="true" hidden="false" outlineLevel="0" max="6" min="6" style="1" width="12"/>
  </cols>
  <sheetData>
    <row r="1" customFormat="false" ht="15" hidden="false" customHeight="true" outlineLevel="0" collapsed="false">
      <c r="A1" s="105" t="s">
        <v>0</v>
      </c>
      <c r="B1" s="105" t="s">
        <v>649</v>
      </c>
      <c r="C1" s="105" t="s">
        <v>760</v>
      </c>
      <c r="D1" s="105" t="s">
        <v>761</v>
      </c>
      <c r="E1" s="105" t="s">
        <v>762</v>
      </c>
      <c r="F1" s="105" t="s">
        <v>763</v>
      </c>
    </row>
    <row r="2" customFormat="false" ht="15" hidden="false" customHeight="true" outlineLevel="0" collapsed="false">
      <c r="A2" s="106" t="n">
        <v>1</v>
      </c>
      <c r="B2" s="106" t="s">
        <v>4</v>
      </c>
      <c r="C2" s="106" t="s">
        <v>588</v>
      </c>
      <c r="D2" s="106" t="s">
        <v>764</v>
      </c>
      <c r="E2" s="106" t="s">
        <v>765</v>
      </c>
      <c r="F2" s="106" t="s">
        <v>766</v>
      </c>
    </row>
    <row r="3" customFormat="false" ht="15" hidden="false" customHeight="true" outlineLevel="0" collapsed="false">
      <c r="A3" s="106" t="n">
        <v>2</v>
      </c>
      <c r="B3" s="106" t="s">
        <v>4</v>
      </c>
      <c r="C3" s="106" t="s">
        <v>575</v>
      </c>
      <c r="D3" s="106" t="s">
        <v>764</v>
      </c>
      <c r="E3" s="106" t="s">
        <v>765</v>
      </c>
      <c r="F3" s="106" t="s">
        <v>766</v>
      </c>
    </row>
    <row r="4" customFormat="false" ht="15" hidden="false" customHeight="true" outlineLevel="0" collapsed="false">
      <c r="A4" s="106" t="n">
        <v>3</v>
      </c>
      <c r="B4" s="106" t="s">
        <v>4</v>
      </c>
      <c r="C4" s="106" t="s">
        <v>583</v>
      </c>
      <c r="D4" s="106" t="s">
        <v>764</v>
      </c>
      <c r="E4" s="106" t="s">
        <v>765</v>
      </c>
      <c r="F4" s="106" t="s">
        <v>766</v>
      </c>
    </row>
    <row r="5" customFormat="false" ht="15" hidden="false" customHeight="true" outlineLevel="0" collapsed="false">
      <c r="A5" s="106" t="n">
        <v>4</v>
      </c>
      <c r="B5" s="106" t="s">
        <v>4</v>
      </c>
      <c r="C5" s="106" t="s">
        <v>680</v>
      </c>
      <c r="D5" s="106" t="s">
        <v>764</v>
      </c>
      <c r="E5" s="106" t="s">
        <v>765</v>
      </c>
      <c r="F5" s="106" t="s">
        <v>766</v>
      </c>
    </row>
    <row r="6" customFormat="false" ht="15" hidden="false" customHeight="true" outlineLevel="0" collapsed="false">
      <c r="A6" s="106" t="n">
        <v>5</v>
      </c>
      <c r="B6" s="106" t="s">
        <v>4</v>
      </c>
      <c r="C6" s="106" t="s">
        <v>587</v>
      </c>
      <c r="D6" s="106" t="s">
        <v>764</v>
      </c>
      <c r="E6" s="106" t="s">
        <v>765</v>
      </c>
      <c r="F6" s="106" t="s">
        <v>766</v>
      </c>
    </row>
    <row r="7" customFormat="false" ht="15" hidden="false" customHeight="true" outlineLevel="0" collapsed="false">
      <c r="A7" s="106" t="n">
        <v>6</v>
      </c>
      <c r="B7" s="106" t="s">
        <v>4</v>
      </c>
      <c r="C7" s="106" t="s">
        <v>672</v>
      </c>
      <c r="D7" s="106" t="s">
        <v>764</v>
      </c>
      <c r="E7" s="106" t="s">
        <v>765</v>
      </c>
      <c r="F7" s="106" t="s">
        <v>766</v>
      </c>
    </row>
    <row r="8" customFormat="false" ht="15" hidden="false" customHeight="true" outlineLevel="0" collapsed="false">
      <c r="A8" s="106" t="n">
        <v>7</v>
      </c>
      <c r="B8" s="106" t="s">
        <v>4</v>
      </c>
      <c r="C8" s="106" t="s">
        <v>681</v>
      </c>
      <c r="D8" s="106" t="s">
        <v>764</v>
      </c>
      <c r="E8" s="106" t="s">
        <v>765</v>
      </c>
      <c r="F8" s="106" t="s">
        <v>766</v>
      </c>
    </row>
    <row r="9" customFormat="false" ht="15" hidden="false" customHeight="true" outlineLevel="0" collapsed="false">
      <c r="A9" s="106" t="n">
        <v>8</v>
      </c>
      <c r="B9" s="106" t="s">
        <v>4</v>
      </c>
      <c r="C9" s="106" t="s">
        <v>592</v>
      </c>
      <c r="D9" s="106" t="s">
        <v>764</v>
      </c>
      <c r="E9" s="106" t="s">
        <v>765</v>
      </c>
      <c r="F9" s="106" t="s">
        <v>766</v>
      </c>
    </row>
    <row r="10" customFormat="false" ht="15" hidden="false" customHeight="true" outlineLevel="0" collapsed="false">
      <c r="A10" s="106" t="n">
        <v>9</v>
      </c>
      <c r="B10" s="106" t="s">
        <v>4</v>
      </c>
      <c r="C10" s="106" t="s">
        <v>586</v>
      </c>
      <c r="D10" s="106" t="s">
        <v>764</v>
      </c>
      <c r="E10" s="106" t="s">
        <v>765</v>
      </c>
      <c r="F10" s="106" t="s">
        <v>766</v>
      </c>
    </row>
    <row r="11" customFormat="false" ht="15" hidden="false" customHeight="true" outlineLevel="0" collapsed="false">
      <c r="A11" s="106" t="n">
        <v>10</v>
      </c>
      <c r="B11" s="106" t="s">
        <v>4</v>
      </c>
      <c r="C11" s="106" t="s">
        <v>579</v>
      </c>
      <c r="D11" s="106" t="s">
        <v>764</v>
      </c>
      <c r="E11" s="106" t="s">
        <v>765</v>
      </c>
      <c r="F11" s="106" t="s">
        <v>766</v>
      </c>
    </row>
    <row r="12" customFormat="false" ht="15" hidden="false" customHeight="true" outlineLevel="0" collapsed="false">
      <c r="A12" s="106" t="n">
        <v>11</v>
      </c>
      <c r="B12" s="106" t="s">
        <v>4</v>
      </c>
      <c r="C12" s="106" t="s">
        <v>570</v>
      </c>
      <c r="D12" s="106" t="s">
        <v>767</v>
      </c>
      <c r="E12" s="106" t="s">
        <v>765</v>
      </c>
      <c r="F12" s="106" t="s">
        <v>766</v>
      </c>
    </row>
    <row r="13" customFormat="false" ht="15" hidden="false" customHeight="true" outlineLevel="0" collapsed="false">
      <c r="A13" s="106" t="n">
        <v>12</v>
      </c>
      <c r="B13" s="106" t="s">
        <v>4</v>
      </c>
      <c r="C13" s="106" t="s">
        <v>577</v>
      </c>
      <c r="D13" s="106" t="s">
        <v>767</v>
      </c>
      <c r="E13" s="106" t="s">
        <v>765</v>
      </c>
      <c r="F13" s="106" t="s">
        <v>766</v>
      </c>
    </row>
    <row r="14" customFormat="false" ht="15" hidden="false" customHeight="true" outlineLevel="0" collapsed="false">
      <c r="A14" s="106" t="n">
        <v>13</v>
      </c>
      <c r="B14" s="106" t="s">
        <v>4</v>
      </c>
      <c r="C14" s="106" t="s">
        <v>671</v>
      </c>
      <c r="D14" s="106" t="s">
        <v>767</v>
      </c>
      <c r="E14" s="106" t="s">
        <v>765</v>
      </c>
      <c r="F14" s="106" t="s">
        <v>766</v>
      </c>
    </row>
    <row r="15" customFormat="false" ht="15" hidden="false" customHeight="true" outlineLevel="0" collapsed="false">
      <c r="A15" s="106" t="n">
        <v>14</v>
      </c>
      <c r="B15" s="106" t="s">
        <v>4</v>
      </c>
      <c r="C15" s="106" t="s">
        <v>576</v>
      </c>
      <c r="D15" s="106" t="s">
        <v>767</v>
      </c>
      <c r="E15" s="106" t="s">
        <v>765</v>
      </c>
      <c r="F15" s="106" t="s">
        <v>766</v>
      </c>
    </row>
    <row r="16" customFormat="false" ht="15" hidden="false" customHeight="true" outlineLevel="0" collapsed="false">
      <c r="A16" s="106" t="n">
        <v>15</v>
      </c>
      <c r="B16" s="106" t="s">
        <v>4</v>
      </c>
      <c r="C16" s="106" t="s">
        <v>678</v>
      </c>
      <c r="D16" s="106" t="s">
        <v>768</v>
      </c>
      <c r="E16" s="106" t="s">
        <v>765</v>
      </c>
      <c r="F16" s="106" t="s">
        <v>766</v>
      </c>
    </row>
    <row r="17" customFormat="false" ht="15" hidden="false" customHeight="true" outlineLevel="0" collapsed="false">
      <c r="A17" s="106" t="n">
        <v>16</v>
      </c>
      <c r="B17" s="106" t="s">
        <v>4</v>
      </c>
      <c r="C17" s="106" t="s">
        <v>679</v>
      </c>
      <c r="D17" s="106" t="s">
        <v>768</v>
      </c>
      <c r="E17" s="106" t="s">
        <v>765</v>
      </c>
      <c r="F17" s="106" t="s">
        <v>766</v>
      </c>
    </row>
    <row r="18" customFormat="false" ht="15" hidden="false" customHeight="true" outlineLevel="0" collapsed="false">
      <c r="A18" s="106" t="n">
        <v>17</v>
      </c>
      <c r="B18" s="106" t="s">
        <v>4</v>
      </c>
      <c r="C18" s="106" t="s">
        <v>675</v>
      </c>
      <c r="D18" s="106" t="s">
        <v>768</v>
      </c>
      <c r="E18" s="106" t="s">
        <v>769</v>
      </c>
      <c r="F18" s="106" t="s">
        <v>766</v>
      </c>
    </row>
    <row r="19" customFormat="false" ht="15" hidden="false" customHeight="true" outlineLevel="0" collapsed="false">
      <c r="A19" s="106" t="n">
        <v>18</v>
      </c>
      <c r="B19" s="106" t="s">
        <v>4</v>
      </c>
      <c r="C19" s="106" t="s">
        <v>574</v>
      </c>
      <c r="D19" s="106" t="s">
        <v>768</v>
      </c>
      <c r="E19" s="106" t="s">
        <v>765</v>
      </c>
      <c r="F19" s="106" t="s">
        <v>766</v>
      </c>
    </row>
    <row r="20" customFormat="false" ht="15" hidden="false" customHeight="true" outlineLevel="0" collapsed="false">
      <c r="A20" s="106" t="n">
        <v>19</v>
      </c>
      <c r="B20" s="106" t="s">
        <v>4</v>
      </c>
      <c r="C20" s="106" t="s">
        <v>594</v>
      </c>
      <c r="D20" s="106" t="s">
        <v>768</v>
      </c>
      <c r="E20" s="106" t="s">
        <v>765</v>
      </c>
      <c r="F20" s="106" t="s">
        <v>766</v>
      </c>
    </row>
    <row r="21" customFormat="false" ht="15" hidden="false" customHeight="true" outlineLevel="0" collapsed="false">
      <c r="A21" s="106" t="n">
        <v>20</v>
      </c>
      <c r="B21" s="106" t="s">
        <v>4</v>
      </c>
      <c r="C21" s="106" t="s">
        <v>568</v>
      </c>
      <c r="D21" s="106" t="s">
        <v>768</v>
      </c>
      <c r="E21" s="106" t="s">
        <v>765</v>
      </c>
      <c r="F21" s="106" t="s">
        <v>766</v>
      </c>
    </row>
    <row r="22" customFormat="false" ht="15" hidden="false" customHeight="true" outlineLevel="0" collapsed="false">
      <c r="A22" s="106" t="n">
        <v>21</v>
      </c>
      <c r="B22" s="106" t="s">
        <v>4</v>
      </c>
      <c r="C22" s="106" t="s">
        <v>572</v>
      </c>
      <c r="D22" s="106" t="s">
        <v>768</v>
      </c>
      <c r="E22" s="106" t="s">
        <v>765</v>
      </c>
      <c r="F22" s="106" t="s">
        <v>766</v>
      </c>
    </row>
    <row r="23" customFormat="false" ht="15" hidden="false" customHeight="true" outlineLevel="0" collapsed="false">
      <c r="A23" s="106" t="n">
        <v>22</v>
      </c>
      <c r="B23" s="106" t="s">
        <v>4</v>
      </c>
      <c r="C23" s="106" t="s">
        <v>666</v>
      </c>
      <c r="D23" s="106" t="s">
        <v>768</v>
      </c>
      <c r="E23" s="106" t="s">
        <v>769</v>
      </c>
      <c r="F23" s="106" t="s">
        <v>766</v>
      </c>
    </row>
    <row r="24" customFormat="false" ht="15" hidden="false" customHeight="true" outlineLevel="0" collapsed="false">
      <c r="A24" s="106" t="n">
        <v>23</v>
      </c>
      <c r="B24" s="106" t="s">
        <v>4</v>
      </c>
      <c r="C24" s="106" t="s">
        <v>673</v>
      </c>
      <c r="D24" s="106" t="s">
        <v>768</v>
      </c>
      <c r="E24" s="106" t="s">
        <v>770</v>
      </c>
      <c r="F24" s="106" t="s">
        <v>766</v>
      </c>
    </row>
    <row r="25" customFormat="false" ht="15" hidden="false" customHeight="true" outlineLevel="0" collapsed="false">
      <c r="A25" s="106" t="n">
        <v>24</v>
      </c>
      <c r="B25" s="106" t="s">
        <v>4</v>
      </c>
      <c r="C25" s="106" t="s">
        <v>590</v>
      </c>
      <c r="D25" s="106" t="s">
        <v>768</v>
      </c>
      <c r="E25" s="106" t="s">
        <v>770</v>
      </c>
      <c r="F25" s="106" t="s">
        <v>766</v>
      </c>
    </row>
    <row r="26" customFormat="false" ht="15" hidden="false" customHeight="true" outlineLevel="0" collapsed="false">
      <c r="A26" s="106" t="n">
        <v>25</v>
      </c>
      <c r="B26" s="106" t="s">
        <v>4</v>
      </c>
      <c r="C26" s="106" t="s">
        <v>580</v>
      </c>
      <c r="D26" s="106" t="s">
        <v>771</v>
      </c>
      <c r="E26" s="106" t="s">
        <v>772</v>
      </c>
      <c r="F26" s="106" t="s">
        <v>766</v>
      </c>
    </row>
    <row r="27" customFormat="false" ht="15" hidden="false" customHeight="true" outlineLevel="0" collapsed="false">
      <c r="A27" s="106" t="n">
        <v>26</v>
      </c>
      <c r="B27" s="106" t="s">
        <v>4</v>
      </c>
      <c r="C27" s="106" t="s">
        <v>670</v>
      </c>
      <c r="D27" s="106" t="s">
        <v>771</v>
      </c>
      <c r="E27" s="106" t="s">
        <v>773</v>
      </c>
      <c r="F27" s="106" t="s">
        <v>766</v>
      </c>
    </row>
    <row r="28" customFormat="false" ht="15" hidden="false" customHeight="true" outlineLevel="0" collapsed="false">
      <c r="A28" s="106" t="n">
        <v>27</v>
      </c>
      <c r="B28" s="106" t="s">
        <v>4</v>
      </c>
      <c r="C28" s="106" t="s">
        <v>582</v>
      </c>
      <c r="D28" s="106" t="s">
        <v>771</v>
      </c>
      <c r="E28" s="106" t="s">
        <v>770</v>
      </c>
      <c r="F28" s="106" t="s">
        <v>766</v>
      </c>
    </row>
    <row r="29" customFormat="false" ht="15" hidden="false" customHeight="true" outlineLevel="0" collapsed="false">
      <c r="A29" s="106" t="n">
        <v>28</v>
      </c>
      <c r="B29" s="106" t="s">
        <v>4</v>
      </c>
      <c r="C29" s="106" t="s">
        <v>589</v>
      </c>
      <c r="D29" s="106" t="s">
        <v>771</v>
      </c>
      <c r="E29" s="106" t="s">
        <v>770</v>
      </c>
      <c r="F29" s="106" t="s">
        <v>766</v>
      </c>
    </row>
    <row r="30" customFormat="false" ht="15" hidden="false" customHeight="true" outlineLevel="0" collapsed="false">
      <c r="A30" s="106" t="n">
        <v>29</v>
      </c>
      <c r="B30" s="106" t="s">
        <v>4</v>
      </c>
      <c r="C30" s="106" t="s">
        <v>581</v>
      </c>
      <c r="D30" s="106" t="s">
        <v>771</v>
      </c>
      <c r="E30" s="106" t="s">
        <v>772</v>
      </c>
      <c r="F30" s="106" t="s">
        <v>766</v>
      </c>
    </row>
    <row r="31" customFormat="false" ht="15" hidden="false" customHeight="true" outlineLevel="0" collapsed="false">
      <c r="A31" s="106" t="n">
        <v>30</v>
      </c>
      <c r="B31" s="106" t="s">
        <v>5</v>
      </c>
      <c r="C31" s="106" t="s">
        <v>676</v>
      </c>
      <c r="D31" s="106" t="s">
        <v>774</v>
      </c>
      <c r="E31" s="106" t="s">
        <v>765</v>
      </c>
      <c r="F31" s="106" t="s">
        <v>766</v>
      </c>
    </row>
    <row r="32" customFormat="false" ht="15" hidden="false" customHeight="true" outlineLevel="0" collapsed="false">
      <c r="A32" s="106" t="n">
        <v>31</v>
      </c>
      <c r="B32" s="106" t="s">
        <v>5</v>
      </c>
      <c r="C32" s="106" t="s">
        <v>633</v>
      </c>
      <c r="D32" s="106" t="s">
        <v>774</v>
      </c>
      <c r="E32" s="106" t="s">
        <v>765</v>
      </c>
      <c r="F32" s="106" t="s">
        <v>766</v>
      </c>
    </row>
    <row r="33" customFormat="false" ht="15" hidden="false" customHeight="true" outlineLevel="0" collapsed="false">
      <c r="A33" s="106" t="n">
        <v>32</v>
      </c>
      <c r="B33" s="106" t="s">
        <v>5</v>
      </c>
      <c r="C33" s="106" t="s">
        <v>631</v>
      </c>
      <c r="D33" s="106" t="s">
        <v>774</v>
      </c>
      <c r="E33" s="106" t="s">
        <v>765</v>
      </c>
      <c r="F33" s="106" t="s">
        <v>766</v>
      </c>
    </row>
    <row r="34" customFormat="false" ht="15" hidden="false" customHeight="true" outlineLevel="0" collapsed="false">
      <c r="A34" s="106" t="n">
        <v>33</v>
      </c>
      <c r="B34" s="106" t="s">
        <v>5</v>
      </c>
      <c r="C34" s="106" t="s">
        <v>632</v>
      </c>
      <c r="D34" s="106" t="s">
        <v>774</v>
      </c>
      <c r="E34" s="106" t="s">
        <v>769</v>
      </c>
      <c r="F34" s="106" t="s">
        <v>766</v>
      </c>
    </row>
    <row r="35" customFormat="false" ht="15" hidden="false" customHeight="true" outlineLevel="0" collapsed="false">
      <c r="A35" s="106" t="n">
        <v>34</v>
      </c>
      <c r="B35" s="106" t="s">
        <v>5</v>
      </c>
      <c r="C35" s="106" t="s">
        <v>636</v>
      </c>
      <c r="D35" s="106" t="s">
        <v>774</v>
      </c>
      <c r="E35" s="106" t="s">
        <v>770</v>
      </c>
      <c r="F35" s="106" t="s">
        <v>766</v>
      </c>
    </row>
    <row r="36" customFormat="false" ht="15" hidden="false" customHeight="true" outlineLevel="0" collapsed="false">
      <c r="A36" s="106" t="n">
        <v>35</v>
      </c>
      <c r="B36" s="106" t="s">
        <v>5</v>
      </c>
      <c r="C36" s="106" t="s">
        <v>635</v>
      </c>
      <c r="D36" s="106" t="s">
        <v>774</v>
      </c>
      <c r="E36" s="106" t="s">
        <v>770</v>
      </c>
      <c r="F36" s="106" t="s">
        <v>766</v>
      </c>
    </row>
    <row r="37" customFormat="false" ht="15" hidden="false" customHeight="true" outlineLevel="0" collapsed="false">
      <c r="A37" s="106" t="n">
        <v>36</v>
      </c>
      <c r="B37" s="106" t="s">
        <v>5</v>
      </c>
      <c r="C37" s="106" t="s">
        <v>634</v>
      </c>
      <c r="D37" s="106" t="s">
        <v>775</v>
      </c>
      <c r="E37" s="106" t="s">
        <v>770</v>
      </c>
      <c r="F37" s="106" t="s">
        <v>766</v>
      </c>
    </row>
    <row r="38" customFormat="false" ht="15" hidden="false" customHeight="true" outlineLevel="0" collapsed="false">
      <c r="A38" s="106" t="n">
        <v>37</v>
      </c>
      <c r="B38" s="106" t="s">
        <v>6</v>
      </c>
      <c r="C38" s="106" t="s">
        <v>667</v>
      </c>
      <c r="D38" s="106" t="s">
        <v>776</v>
      </c>
      <c r="E38" s="106" t="s">
        <v>765</v>
      </c>
      <c r="F38" s="106" t="s">
        <v>766</v>
      </c>
    </row>
    <row r="39" customFormat="false" ht="15" hidden="false" customHeight="true" outlineLevel="0" collapsed="false">
      <c r="A39" s="106" t="n">
        <v>38</v>
      </c>
      <c r="B39" s="106" t="s">
        <v>6</v>
      </c>
      <c r="C39" s="106" t="s">
        <v>668</v>
      </c>
      <c r="D39" s="106" t="s">
        <v>776</v>
      </c>
      <c r="E39" s="106" t="s">
        <v>770</v>
      </c>
      <c r="F39" s="106" t="s">
        <v>766</v>
      </c>
    </row>
    <row r="40" customFormat="false" ht="15" hidden="false" customHeight="true" outlineLevel="0" collapsed="false">
      <c r="A40" s="106" t="n">
        <v>39</v>
      </c>
      <c r="B40" s="106" t="s">
        <v>6</v>
      </c>
      <c r="C40" s="106" t="s">
        <v>669</v>
      </c>
      <c r="D40" s="106" t="s">
        <v>776</v>
      </c>
      <c r="E40" s="106" t="s">
        <v>769</v>
      </c>
      <c r="F40" s="106" t="s">
        <v>766</v>
      </c>
    </row>
    <row r="41" customFormat="false" ht="15" hidden="false" customHeight="true" outlineLevel="0" collapsed="false">
      <c r="A41" s="106" t="n">
        <v>40</v>
      </c>
      <c r="B41" s="106" t="s">
        <v>7</v>
      </c>
      <c r="C41" s="106" t="s">
        <v>674</v>
      </c>
      <c r="D41" s="106" t="s">
        <v>777</v>
      </c>
      <c r="E41" s="106" t="s">
        <v>773</v>
      </c>
      <c r="F41" s="106" t="s">
        <v>766</v>
      </c>
    </row>
    <row r="42" customFormat="false" ht="15" hidden="false" customHeight="true" outlineLevel="0" collapsed="false">
      <c r="A42" s="106" t="n">
        <v>41</v>
      </c>
      <c r="B42" s="106" t="s">
        <v>7</v>
      </c>
      <c r="C42" s="106" t="s">
        <v>677</v>
      </c>
      <c r="D42" s="106" t="s">
        <v>777</v>
      </c>
      <c r="E42" s="106" t="s">
        <v>772</v>
      </c>
      <c r="F42" s="106" t="s">
        <v>766</v>
      </c>
    </row>
    <row r="43" customFormat="false" ht="15" hidden="false" customHeight="true" outlineLevel="0" collapsed="false">
      <c r="A43" s="106" t="n">
        <v>42</v>
      </c>
      <c r="B43" s="106" t="s">
        <v>7</v>
      </c>
      <c r="C43" s="106" t="s">
        <v>644</v>
      </c>
      <c r="D43" s="106" t="s">
        <v>778</v>
      </c>
      <c r="E43" s="106" t="s">
        <v>772</v>
      </c>
      <c r="F43" s="106" t="s">
        <v>766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50"/>
    <col collapsed="false" customWidth="true" hidden="false" outlineLevel="0" max="4" min="4" style="1" width="10"/>
    <col collapsed="false" customWidth="true" hidden="false" outlineLevel="0" max="6" min="5" style="1" width="14"/>
    <col collapsed="false" customWidth="true" hidden="false" outlineLevel="0" max="7" min="7" style="1" width="45"/>
  </cols>
  <sheetData>
    <row r="1" customFormat="false" ht="27.75" hidden="false" customHeight="true" outlineLevel="0" collapsed="false">
      <c r="A1" s="107" t="s">
        <v>0</v>
      </c>
      <c r="B1" s="107" t="s">
        <v>492</v>
      </c>
      <c r="C1" s="107" t="s">
        <v>1</v>
      </c>
      <c r="D1" s="107" t="s">
        <v>779</v>
      </c>
      <c r="E1" s="107" t="s">
        <v>780</v>
      </c>
      <c r="F1" s="107" t="s">
        <v>781</v>
      </c>
      <c r="G1" s="107" t="s">
        <v>782</v>
      </c>
    </row>
    <row r="2" customFormat="false" ht="15" hidden="false" customHeight="true" outlineLevel="0" collapsed="false">
      <c r="A2" s="108" t="n">
        <v>1</v>
      </c>
      <c r="B2" s="108" t="s">
        <v>783</v>
      </c>
      <c r="C2" s="108" t="s">
        <v>10</v>
      </c>
      <c r="D2" s="108" t="s">
        <v>784</v>
      </c>
      <c r="E2" s="108" t="s">
        <v>785</v>
      </c>
      <c r="F2" s="109" t="s">
        <v>786</v>
      </c>
      <c r="G2" s="110" t="s">
        <v>787</v>
      </c>
    </row>
    <row r="3" customFormat="false" ht="15" hidden="false" customHeight="true" outlineLevel="0" collapsed="false">
      <c r="A3" s="108" t="n">
        <v>2</v>
      </c>
      <c r="B3" s="108" t="s">
        <v>783</v>
      </c>
      <c r="C3" s="108" t="s">
        <v>17</v>
      </c>
      <c r="D3" s="108" t="s">
        <v>784</v>
      </c>
      <c r="E3" s="108" t="s">
        <v>788</v>
      </c>
      <c r="F3" s="111" t="s">
        <v>789</v>
      </c>
      <c r="G3" s="110" t="s">
        <v>790</v>
      </c>
    </row>
    <row r="4" customFormat="false" ht="15" hidden="false" customHeight="true" outlineLevel="0" collapsed="false">
      <c r="A4" s="108" t="n">
        <v>3</v>
      </c>
      <c r="B4" s="108" t="s">
        <v>783</v>
      </c>
      <c r="C4" s="108" t="s">
        <v>24</v>
      </c>
      <c r="D4" s="108" t="s">
        <v>784</v>
      </c>
      <c r="E4" s="108" t="s">
        <v>785</v>
      </c>
      <c r="F4" s="109" t="s">
        <v>786</v>
      </c>
      <c r="G4" s="110" t="s">
        <v>791</v>
      </c>
    </row>
    <row r="5" customFormat="false" ht="15" hidden="false" customHeight="true" outlineLevel="0" collapsed="false">
      <c r="A5" s="108" t="n">
        <v>4</v>
      </c>
      <c r="B5" s="108" t="s">
        <v>783</v>
      </c>
      <c r="C5" s="108" t="s">
        <v>792</v>
      </c>
      <c r="D5" s="108" t="s">
        <v>784</v>
      </c>
      <c r="E5" s="108" t="s">
        <v>793</v>
      </c>
      <c r="F5" s="111" t="s">
        <v>789</v>
      </c>
      <c r="G5" s="110" t="s">
        <v>794</v>
      </c>
    </row>
    <row r="6" customFormat="false" ht="15" hidden="false" customHeight="true" outlineLevel="0" collapsed="false">
      <c r="A6" s="108" t="n">
        <v>5</v>
      </c>
      <c r="B6" s="108" t="s">
        <v>783</v>
      </c>
      <c r="C6" s="108" t="s">
        <v>37</v>
      </c>
      <c r="D6" s="108" t="s">
        <v>784</v>
      </c>
      <c r="E6" s="108" t="s">
        <v>788</v>
      </c>
      <c r="F6" s="111" t="s">
        <v>789</v>
      </c>
      <c r="G6" s="110" t="s">
        <v>795</v>
      </c>
    </row>
    <row r="7" customFormat="false" ht="21.75" hidden="false" customHeight="true" outlineLevel="0" collapsed="false">
      <c r="A7" s="108" t="n">
        <v>6</v>
      </c>
      <c r="B7" s="108" t="s">
        <v>783</v>
      </c>
      <c r="C7" s="108" t="s">
        <v>42</v>
      </c>
      <c r="D7" s="108" t="s">
        <v>784</v>
      </c>
      <c r="E7" s="108" t="s">
        <v>793</v>
      </c>
      <c r="F7" s="111" t="s">
        <v>789</v>
      </c>
      <c r="G7" s="110" t="s">
        <v>796</v>
      </c>
    </row>
    <row r="8" customFormat="false" ht="15" hidden="false" customHeight="true" outlineLevel="0" collapsed="false">
      <c r="A8" s="108" t="n">
        <v>7</v>
      </c>
      <c r="B8" s="108" t="s">
        <v>783</v>
      </c>
      <c r="C8" s="108" t="s">
        <v>48</v>
      </c>
      <c r="D8" s="108" t="s">
        <v>784</v>
      </c>
      <c r="E8" s="108" t="s">
        <v>49</v>
      </c>
      <c r="F8" s="109" t="s">
        <v>786</v>
      </c>
      <c r="G8" s="110" t="s">
        <v>797</v>
      </c>
    </row>
    <row r="9" customFormat="false" ht="15" hidden="false" customHeight="true" outlineLevel="0" collapsed="false">
      <c r="A9" s="108" t="n">
        <v>8</v>
      </c>
      <c r="B9" s="108" t="s">
        <v>798</v>
      </c>
      <c r="C9" s="108" t="s">
        <v>55</v>
      </c>
      <c r="D9" s="108" t="s">
        <v>784</v>
      </c>
      <c r="E9" s="108" t="s">
        <v>788</v>
      </c>
      <c r="F9" s="109" t="s">
        <v>786</v>
      </c>
      <c r="G9" s="110" t="s">
        <v>799</v>
      </c>
    </row>
    <row r="10" customFormat="false" ht="15" hidden="false" customHeight="true" outlineLevel="0" collapsed="false">
      <c r="A10" s="108" t="n">
        <v>9</v>
      </c>
      <c r="B10" s="108" t="s">
        <v>798</v>
      </c>
      <c r="C10" s="108" t="s">
        <v>61</v>
      </c>
      <c r="D10" s="108" t="s">
        <v>784</v>
      </c>
      <c r="E10" s="108" t="s">
        <v>788</v>
      </c>
      <c r="F10" s="109" t="s">
        <v>786</v>
      </c>
      <c r="G10" s="110" t="s">
        <v>799</v>
      </c>
    </row>
    <row r="11" customFormat="false" ht="15" hidden="false" customHeight="true" outlineLevel="0" collapsed="false">
      <c r="A11" s="108" t="n">
        <v>10</v>
      </c>
      <c r="B11" s="108" t="s">
        <v>798</v>
      </c>
      <c r="C11" s="108" t="s">
        <v>66</v>
      </c>
      <c r="D11" s="108" t="s">
        <v>784</v>
      </c>
      <c r="E11" s="108" t="s">
        <v>788</v>
      </c>
      <c r="F11" s="111" t="s">
        <v>789</v>
      </c>
      <c r="G11" s="110" t="s">
        <v>800</v>
      </c>
    </row>
    <row r="12" customFormat="false" ht="15" hidden="false" customHeight="true" outlineLevel="0" collapsed="false">
      <c r="A12" s="108" t="n">
        <v>11</v>
      </c>
      <c r="B12" s="108" t="s">
        <v>798</v>
      </c>
      <c r="C12" s="108" t="s">
        <v>72</v>
      </c>
      <c r="D12" s="108" t="s">
        <v>784</v>
      </c>
      <c r="E12" s="108" t="s">
        <v>788</v>
      </c>
      <c r="F12" s="109" t="s">
        <v>786</v>
      </c>
      <c r="G12" s="110" t="s">
        <v>801</v>
      </c>
    </row>
    <row r="13" customFormat="false" ht="15" hidden="false" customHeight="true" outlineLevel="0" collapsed="false">
      <c r="A13" s="108" t="n">
        <v>12</v>
      </c>
      <c r="B13" s="108" t="s">
        <v>798</v>
      </c>
      <c r="C13" s="108" t="s">
        <v>77</v>
      </c>
      <c r="D13" s="108" t="s">
        <v>784</v>
      </c>
      <c r="E13" s="108" t="s">
        <v>788</v>
      </c>
      <c r="F13" s="109" t="s">
        <v>786</v>
      </c>
      <c r="G13" s="110" t="s">
        <v>802</v>
      </c>
    </row>
    <row r="14" customFormat="false" ht="15" hidden="false" customHeight="true" outlineLevel="0" collapsed="false">
      <c r="A14" s="108" t="n">
        <v>13</v>
      </c>
      <c r="B14" s="108" t="s">
        <v>798</v>
      </c>
      <c r="C14" s="108" t="s">
        <v>83</v>
      </c>
      <c r="D14" s="108" t="s">
        <v>784</v>
      </c>
      <c r="E14" s="108" t="s">
        <v>793</v>
      </c>
      <c r="F14" s="111" t="s">
        <v>789</v>
      </c>
      <c r="G14" s="110" t="s">
        <v>803</v>
      </c>
    </row>
    <row r="15" customFormat="false" ht="15" hidden="false" customHeight="true" outlineLevel="0" collapsed="false">
      <c r="A15" s="108" t="n">
        <v>14</v>
      </c>
      <c r="B15" s="108" t="s">
        <v>798</v>
      </c>
      <c r="C15" s="108" t="s">
        <v>89</v>
      </c>
      <c r="D15" s="108" t="s">
        <v>784</v>
      </c>
      <c r="E15" s="108" t="s">
        <v>785</v>
      </c>
      <c r="F15" s="109" t="s">
        <v>786</v>
      </c>
      <c r="G15" s="110" t="s">
        <v>804</v>
      </c>
    </row>
    <row r="16" customFormat="false" ht="15" hidden="false" customHeight="true" outlineLevel="0" collapsed="false">
      <c r="A16" s="108" t="n">
        <v>15</v>
      </c>
      <c r="B16" s="108" t="s">
        <v>805</v>
      </c>
      <c r="C16" s="108" t="s">
        <v>95</v>
      </c>
      <c r="D16" s="108" t="s">
        <v>784</v>
      </c>
      <c r="E16" s="108" t="s">
        <v>785</v>
      </c>
      <c r="F16" s="109" t="s">
        <v>786</v>
      </c>
      <c r="G16" s="110" t="s">
        <v>806</v>
      </c>
    </row>
    <row r="17" customFormat="false" ht="15" hidden="false" customHeight="true" outlineLevel="0" collapsed="false">
      <c r="A17" s="108" t="n">
        <v>16</v>
      </c>
      <c r="B17" s="108" t="s">
        <v>805</v>
      </c>
      <c r="C17" s="108" t="s">
        <v>100</v>
      </c>
      <c r="D17" s="108" t="s">
        <v>784</v>
      </c>
      <c r="E17" s="108" t="s">
        <v>788</v>
      </c>
      <c r="F17" s="111" t="s">
        <v>789</v>
      </c>
      <c r="G17" s="110" t="s">
        <v>807</v>
      </c>
    </row>
    <row r="18" customFormat="false" ht="15" hidden="false" customHeight="true" outlineLevel="0" collapsed="false">
      <c r="A18" s="108" t="n">
        <v>17</v>
      </c>
      <c r="B18" s="108" t="s">
        <v>805</v>
      </c>
      <c r="C18" s="108" t="s">
        <v>103</v>
      </c>
      <c r="D18" s="108" t="s">
        <v>784</v>
      </c>
      <c r="E18" s="108" t="s">
        <v>785</v>
      </c>
      <c r="F18" s="109" t="s">
        <v>786</v>
      </c>
      <c r="G18" s="110" t="s">
        <v>808</v>
      </c>
    </row>
    <row r="19" customFormat="false" ht="15" hidden="false" customHeight="true" outlineLevel="0" collapsed="false">
      <c r="A19" s="108" t="n">
        <v>18</v>
      </c>
      <c r="B19" s="108" t="s">
        <v>805</v>
      </c>
      <c r="C19" s="108" t="s">
        <v>108</v>
      </c>
      <c r="D19" s="108" t="s">
        <v>784</v>
      </c>
      <c r="E19" s="108" t="s">
        <v>785</v>
      </c>
      <c r="F19" s="111" t="s">
        <v>789</v>
      </c>
      <c r="G19" s="110" t="s">
        <v>809</v>
      </c>
    </row>
    <row r="20" customFormat="false" ht="15" hidden="false" customHeight="true" outlineLevel="0" collapsed="false">
      <c r="A20" s="108" t="n">
        <v>19</v>
      </c>
      <c r="B20" s="108" t="s">
        <v>805</v>
      </c>
      <c r="C20" s="108" t="s">
        <v>114</v>
      </c>
      <c r="D20" s="108" t="s">
        <v>784</v>
      </c>
      <c r="E20" s="108" t="s">
        <v>785</v>
      </c>
      <c r="F20" s="109" t="s">
        <v>786</v>
      </c>
      <c r="G20" s="110" t="s">
        <v>810</v>
      </c>
    </row>
    <row r="21" customFormat="false" ht="15" hidden="false" customHeight="true" outlineLevel="0" collapsed="false">
      <c r="A21" s="108" t="n">
        <v>20</v>
      </c>
      <c r="B21" s="108" t="s">
        <v>805</v>
      </c>
      <c r="C21" s="108" t="s">
        <v>119</v>
      </c>
      <c r="D21" s="108" t="s">
        <v>784</v>
      </c>
      <c r="E21" s="108" t="s">
        <v>788</v>
      </c>
      <c r="F21" s="109" t="s">
        <v>786</v>
      </c>
      <c r="G21" s="110" t="s">
        <v>811</v>
      </c>
    </row>
    <row r="22" customFormat="false" ht="15" hidden="false" customHeight="true" outlineLevel="0" collapsed="false">
      <c r="A22" s="108" t="n">
        <v>21</v>
      </c>
      <c r="B22" s="108" t="s">
        <v>805</v>
      </c>
      <c r="C22" s="108" t="s">
        <v>125</v>
      </c>
      <c r="D22" s="108" t="s">
        <v>784</v>
      </c>
      <c r="E22" s="108" t="s">
        <v>788</v>
      </c>
      <c r="F22" s="109" t="s">
        <v>786</v>
      </c>
      <c r="G22" s="110" t="s">
        <v>812</v>
      </c>
    </row>
    <row r="23" customFormat="false" ht="15" hidden="false" customHeight="true" outlineLevel="0" collapsed="false">
      <c r="A23" s="108" t="n">
        <v>22</v>
      </c>
      <c r="B23" s="108" t="s">
        <v>805</v>
      </c>
      <c r="C23" s="108" t="s">
        <v>130</v>
      </c>
      <c r="D23" s="108" t="s">
        <v>784</v>
      </c>
      <c r="E23" s="108" t="s">
        <v>788</v>
      </c>
      <c r="F23" s="109" t="s">
        <v>786</v>
      </c>
      <c r="G23" s="110" t="s">
        <v>813</v>
      </c>
    </row>
    <row r="24" customFormat="false" ht="15" hidden="false" customHeight="true" outlineLevel="0" collapsed="false">
      <c r="A24" s="108" t="n">
        <v>23</v>
      </c>
      <c r="B24" s="108" t="s">
        <v>805</v>
      </c>
      <c r="C24" s="108" t="s">
        <v>135</v>
      </c>
      <c r="D24" s="108" t="s">
        <v>784</v>
      </c>
      <c r="E24" s="108" t="s">
        <v>793</v>
      </c>
      <c r="F24" s="111" t="s">
        <v>789</v>
      </c>
      <c r="G24" s="110" t="s">
        <v>814</v>
      </c>
    </row>
    <row r="25" customFormat="false" ht="15" hidden="false" customHeight="true" outlineLevel="0" collapsed="false">
      <c r="A25" s="108" t="n">
        <v>24</v>
      </c>
      <c r="B25" s="108" t="s">
        <v>815</v>
      </c>
      <c r="C25" s="108" t="s">
        <v>142</v>
      </c>
      <c r="D25" s="108" t="s">
        <v>784</v>
      </c>
      <c r="E25" s="108" t="s">
        <v>49</v>
      </c>
      <c r="F25" s="111" t="s">
        <v>789</v>
      </c>
      <c r="G25" s="110" t="s">
        <v>816</v>
      </c>
    </row>
    <row r="26" customFormat="false" ht="15" hidden="false" customHeight="true" outlineLevel="0" collapsed="false">
      <c r="A26" s="108" t="n">
        <v>25</v>
      </c>
      <c r="B26" s="108" t="s">
        <v>815</v>
      </c>
      <c r="C26" s="108" t="s">
        <v>817</v>
      </c>
      <c r="D26" s="108" t="s">
        <v>818</v>
      </c>
      <c r="E26" s="108" t="s">
        <v>788</v>
      </c>
      <c r="F26" s="111" t="s">
        <v>789</v>
      </c>
      <c r="G26" s="110" t="s">
        <v>819</v>
      </c>
    </row>
    <row r="27" customFormat="false" ht="15" hidden="false" customHeight="true" outlineLevel="0" collapsed="false">
      <c r="A27" s="108" t="n">
        <v>26</v>
      </c>
      <c r="B27" s="108" t="s">
        <v>815</v>
      </c>
      <c r="C27" s="108" t="s">
        <v>820</v>
      </c>
      <c r="D27" s="108" t="s">
        <v>818</v>
      </c>
      <c r="E27" s="108" t="s">
        <v>788</v>
      </c>
      <c r="F27" s="111" t="s">
        <v>789</v>
      </c>
      <c r="G27" s="110" t="s">
        <v>821</v>
      </c>
    </row>
    <row r="28" customFormat="false" ht="15" hidden="false" customHeight="true" outlineLevel="0" collapsed="false">
      <c r="A28" s="108" t="n">
        <v>27</v>
      </c>
      <c r="B28" s="108" t="s">
        <v>815</v>
      </c>
      <c r="C28" s="108" t="s">
        <v>148</v>
      </c>
      <c r="D28" s="108" t="s">
        <v>784</v>
      </c>
      <c r="E28" s="108" t="s">
        <v>785</v>
      </c>
      <c r="F28" s="109" t="s">
        <v>786</v>
      </c>
      <c r="G28" s="110" t="s">
        <v>822</v>
      </c>
    </row>
    <row r="29" customFormat="false" ht="15" hidden="false" customHeight="true" outlineLevel="0" collapsed="false">
      <c r="A29" s="108" t="n">
        <v>28</v>
      </c>
      <c r="B29" s="108" t="s">
        <v>815</v>
      </c>
      <c r="C29" s="108" t="s">
        <v>823</v>
      </c>
      <c r="D29" s="108" t="s">
        <v>818</v>
      </c>
      <c r="E29" s="108" t="s">
        <v>793</v>
      </c>
      <c r="F29" s="111" t="s">
        <v>789</v>
      </c>
      <c r="G29" s="110" t="s">
        <v>824</v>
      </c>
    </row>
    <row r="30" customFormat="false" ht="15" hidden="false" customHeight="true" outlineLevel="0" collapsed="false">
      <c r="A30" s="108" t="n">
        <v>29</v>
      </c>
      <c r="B30" s="108" t="s">
        <v>815</v>
      </c>
      <c r="C30" s="108" t="s">
        <v>153</v>
      </c>
      <c r="D30" s="108" t="s">
        <v>784</v>
      </c>
      <c r="E30" s="108" t="s">
        <v>788</v>
      </c>
      <c r="F30" s="109" t="s">
        <v>786</v>
      </c>
      <c r="G30" s="110" t="s">
        <v>825</v>
      </c>
    </row>
    <row r="31" customFormat="false" ht="15" hidden="false" customHeight="true" outlineLevel="0" collapsed="false">
      <c r="A31" s="108" t="n">
        <v>30</v>
      </c>
      <c r="B31" s="108" t="s">
        <v>815</v>
      </c>
      <c r="C31" s="108" t="s">
        <v>158</v>
      </c>
      <c r="D31" s="108" t="s">
        <v>784</v>
      </c>
      <c r="E31" s="108" t="s">
        <v>49</v>
      </c>
      <c r="F31" s="109" t="s">
        <v>786</v>
      </c>
      <c r="G31" s="110" t="s">
        <v>826</v>
      </c>
    </row>
    <row r="32" customFormat="false" ht="15" hidden="false" customHeight="true" outlineLevel="0" collapsed="false">
      <c r="A32" s="108" t="n">
        <v>31</v>
      </c>
      <c r="B32" s="108" t="s">
        <v>815</v>
      </c>
      <c r="C32" s="108" t="s">
        <v>163</v>
      </c>
      <c r="D32" s="108" t="s">
        <v>784</v>
      </c>
      <c r="E32" s="108" t="s">
        <v>785</v>
      </c>
      <c r="F32" s="109" t="s">
        <v>786</v>
      </c>
      <c r="G32" s="110" t="s">
        <v>827</v>
      </c>
    </row>
    <row r="33" customFormat="false" ht="15" hidden="false" customHeight="true" outlineLevel="0" collapsed="false">
      <c r="A33" s="108" t="n">
        <v>32</v>
      </c>
      <c r="B33" s="108" t="s">
        <v>815</v>
      </c>
      <c r="C33" s="108" t="s">
        <v>168</v>
      </c>
      <c r="D33" s="108" t="s">
        <v>828</v>
      </c>
      <c r="E33" s="108" t="s">
        <v>788</v>
      </c>
      <c r="F33" s="111" t="s">
        <v>789</v>
      </c>
      <c r="G33" s="110" t="s">
        <v>829</v>
      </c>
    </row>
    <row r="34" customFormat="false" ht="15" hidden="false" customHeight="true" outlineLevel="0" collapsed="false">
      <c r="A34" s="108" t="n">
        <v>33</v>
      </c>
      <c r="B34" s="108" t="s">
        <v>830</v>
      </c>
      <c r="C34" s="108" t="s">
        <v>175</v>
      </c>
      <c r="D34" s="108" t="s">
        <v>784</v>
      </c>
      <c r="E34" s="108" t="s">
        <v>788</v>
      </c>
      <c r="F34" s="111" t="s">
        <v>789</v>
      </c>
      <c r="G34" s="110" t="s">
        <v>831</v>
      </c>
    </row>
    <row r="35" customFormat="false" ht="15" hidden="false" customHeight="true" outlineLevel="0" collapsed="false">
      <c r="A35" s="108" t="n">
        <v>34</v>
      </c>
      <c r="B35" s="108" t="s">
        <v>830</v>
      </c>
      <c r="C35" s="108" t="s">
        <v>181</v>
      </c>
      <c r="D35" s="108" t="s">
        <v>784</v>
      </c>
      <c r="E35" s="108" t="s">
        <v>788</v>
      </c>
      <c r="F35" s="111" t="s">
        <v>789</v>
      </c>
      <c r="G35" s="110" t="s">
        <v>832</v>
      </c>
    </row>
    <row r="36" customFormat="false" ht="15" hidden="false" customHeight="true" outlineLevel="0" collapsed="false">
      <c r="A36" s="108" t="n">
        <v>35</v>
      </c>
      <c r="B36" s="108" t="s">
        <v>830</v>
      </c>
      <c r="C36" s="108" t="s">
        <v>186</v>
      </c>
      <c r="D36" s="108" t="s">
        <v>828</v>
      </c>
      <c r="E36" s="108" t="s">
        <v>788</v>
      </c>
      <c r="F36" s="111" t="s">
        <v>789</v>
      </c>
      <c r="G36" s="110" t="s">
        <v>832</v>
      </c>
    </row>
    <row r="37" customFormat="false" ht="15" hidden="false" customHeight="true" outlineLevel="0" collapsed="false">
      <c r="A37" s="108" t="n">
        <v>36</v>
      </c>
      <c r="B37" s="108" t="s">
        <v>830</v>
      </c>
      <c r="C37" s="108" t="s">
        <v>192</v>
      </c>
      <c r="D37" s="108" t="s">
        <v>784</v>
      </c>
      <c r="E37" s="108" t="s">
        <v>793</v>
      </c>
      <c r="F37" s="109" t="s">
        <v>786</v>
      </c>
      <c r="G37" s="110" t="s">
        <v>833</v>
      </c>
    </row>
    <row r="38" customFormat="false" ht="15" hidden="false" customHeight="true" outlineLevel="0" collapsed="false">
      <c r="A38" s="108" t="n">
        <v>37</v>
      </c>
      <c r="B38" s="108" t="s">
        <v>830</v>
      </c>
      <c r="C38" s="108" t="s">
        <v>197</v>
      </c>
      <c r="D38" s="108" t="s">
        <v>784</v>
      </c>
      <c r="E38" s="108" t="s">
        <v>788</v>
      </c>
      <c r="F38" s="109" t="s">
        <v>786</v>
      </c>
      <c r="G38" s="110" t="s">
        <v>834</v>
      </c>
    </row>
    <row r="39" customFormat="false" ht="15" hidden="false" customHeight="true" outlineLevel="0" collapsed="false">
      <c r="A39" s="108" t="n">
        <v>38</v>
      </c>
      <c r="B39" s="108" t="s">
        <v>830</v>
      </c>
      <c r="C39" s="108" t="s">
        <v>203</v>
      </c>
      <c r="D39" s="108" t="s">
        <v>828</v>
      </c>
      <c r="E39" s="108" t="s">
        <v>788</v>
      </c>
      <c r="F39" s="111" t="s">
        <v>789</v>
      </c>
      <c r="G39" s="110" t="s">
        <v>835</v>
      </c>
    </row>
    <row r="40" customFormat="false" ht="15" hidden="false" customHeight="true" outlineLevel="0" collapsed="false">
      <c r="A40" s="108" t="n">
        <v>39</v>
      </c>
      <c r="B40" s="108" t="s">
        <v>830</v>
      </c>
      <c r="C40" s="108" t="s">
        <v>209</v>
      </c>
      <c r="D40" s="108" t="s">
        <v>784</v>
      </c>
      <c r="E40" s="108" t="s">
        <v>785</v>
      </c>
      <c r="F40" s="109" t="s">
        <v>786</v>
      </c>
      <c r="G40" s="110" t="s">
        <v>836</v>
      </c>
    </row>
    <row r="41" customFormat="false" ht="15" hidden="false" customHeight="true" outlineLevel="0" collapsed="false">
      <c r="A41" s="108" t="n">
        <v>40</v>
      </c>
      <c r="B41" s="108" t="s">
        <v>830</v>
      </c>
      <c r="C41" s="108" t="s">
        <v>214</v>
      </c>
      <c r="D41" s="108" t="s">
        <v>828</v>
      </c>
      <c r="E41" s="108" t="s">
        <v>788</v>
      </c>
      <c r="F41" s="111" t="s">
        <v>789</v>
      </c>
      <c r="G41" s="110" t="s">
        <v>837</v>
      </c>
    </row>
    <row r="42" customFormat="false" ht="15" hidden="false" customHeight="true" outlineLevel="0" collapsed="false">
      <c r="A42" s="108" t="n">
        <v>41</v>
      </c>
      <c r="B42" s="108" t="s">
        <v>838</v>
      </c>
      <c r="C42" s="108" t="s">
        <v>221</v>
      </c>
      <c r="D42" s="108" t="s">
        <v>784</v>
      </c>
      <c r="E42" s="108" t="s">
        <v>785</v>
      </c>
      <c r="F42" s="111" t="s">
        <v>789</v>
      </c>
      <c r="G42" s="110" t="s">
        <v>839</v>
      </c>
    </row>
    <row r="43" customFormat="false" ht="15" hidden="false" customHeight="true" outlineLevel="0" collapsed="false">
      <c r="A43" s="108" t="n">
        <v>42</v>
      </c>
      <c r="B43" s="108" t="s">
        <v>838</v>
      </c>
      <c r="C43" s="108" t="s">
        <v>227</v>
      </c>
      <c r="D43" s="108" t="s">
        <v>784</v>
      </c>
      <c r="E43" s="108" t="s">
        <v>793</v>
      </c>
      <c r="F43" s="111" t="s">
        <v>789</v>
      </c>
      <c r="G43" s="110" t="s">
        <v>840</v>
      </c>
    </row>
    <row r="44" customFormat="false" ht="15" hidden="false" customHeight="true" outlineLevel="0" collapsed="false">
      <c r="A44" s="108" t="n">
        <v>43</v>
      </c>
      <c r="B44" s="108" t="s">
        <v>838</v>
      </c>
      <c r="C44" s="108" t="s">
        <v>233</v>
      </c>
      <c r="D44" s="108" t="s">
        <v>784</v>
      </c>
      <c r="E44" s="108" t="s">
        <v>49</v>
      </c>
      <c r="F44" s="111" t="s">
        <v>789</v>
      </c>
      <c r="G44" s="110" t="s">
        <v>841</v>
      </c>
    </row>
    <row r="45" customFormat="false" ht="15" hidden="false" customHeight="true" outlineLevel="0" collapsed="false">
      <c r="A45" s="108" t="n">
        <v>44</v>
      </c>
      <c r="B45" s="108" t="s">
        <v>838</v>
      </c>
      <c r="C45" s="108" t="s">
        <v>239</v>
      </c>
      <c r="D45" s="108" t="s">
        <v>784</v>
      </c>
      <c r="E45" s="108" t="s">
        <v>785</v>
      </c>
      <c r="F45" s="111" t="s">
        <v>789</v>
      </c>
      <c r="G45" s="110" t="s">
        <v>842</v>
      </c>
    </row>
    <row r="46" customFormat="false" ht="15" hidden="false" customHeight="true" outlineLevel="0" collapsed="false">
      <c r="A46" s="108" t="n">
        <v>45</v>
      </c>
      <c r="B46" s="108" t="s">
        <v>838</v>
      </c>
      <c r="C46" s="108" t="s">
        <v>244</v>
      </c>
      <c r="D46" s="108" t="s">
        <v>784</v>
      </c>
      <c r="E46" s="108" t="s">
        <v>793</v>
      </c>
      <c r="F46" s="111" t="s">
        <v>789</v>
      </c>
      <c r="G46" s="110" t="s">
        <v>843</v>
      </c>
    </row>
    <row r="47" customFormat="false" ht="15" hidden="false" customHeight="true" outlineLevel="0" collapsed="false">
      <c r="A47" s="108" t="n">
        <v>46</v>
      </c>
      <c r="B47" s="108" t="s">
        <v>838</v>
      </c>
      <c r="C47" s="108" t="s">
        <v>250</v>
      </c>
      <c r="D47" s="108" t="s">
        <v>784</v>
      </c>
      <c r="E47" s="108" t="s">
        <v>793</v>
      </c>
      <c r="F47" s="111" t="s">
        <v>789</v>
      </c>
      <c r="G47" s="110" t="s">
        <v>844</v>
      </c>
    </row>
    <row r="48" customFormat="false" ht="15" hidden="false" customHeight="true" outlineLevel="0" collapsed="false">
      <c r="A48" s="108" t="n">
        <v>47</v>
      </c>
      <c r="B48" s="108" t="s">
        <v>838</v>
      </c>
      <c r="C48" s="108" t="s">
        <v>256</v>
      </c>
      <c r="D48" s="108" t="s">
        <v>784</v>
      </c>
      <c r="E48" s="108" t="s">
        <v>785</v>
      </c>
      <c r="F48" s="109" t="s">
        <v>786</v>
      </c>
      <c r="G48" s="110" t="s">
        <v>845</v>
      </c>
    </row>
    <row r="49" customFormat="false" ht="15" hidden="false" customHeight="true" outlineLevel="0" collapsed="false">
      <c r="A49" s="108" t="n">
        <v>48</v>
      </c>
      <c r="B49" s="108" t="s">
        <v>846</v>
      </c>
      <c r="C49" s="108" t="s">
        <v>847</v>
      </c>
      <c r="D49" s="108" t="s">
        <v>818</v>
      </c>
      <c r="E49" s="108" t="s">
        <v>788</v>
      </c>
      <c r="F49" s="111" t="s">
        <v>789</v>
      </c>
      <c r="G49" s="110" t="s">
        <v>848</v>
      </c>
    </row>
    <row r="50" customFormat="false" ht="15" hidden="false" customHeight="true" outlineLevel="0" collapsed="false">
      <c r="A50" s="108" t="n">
        <v>49</v>
      </c>
      <c r="B50" s="108" t="s">
        <v>846</v>
      </c>
      <c r="C50" s="108" t="s">
        <v>849</v>
      </c>
      <c r="D50" s="108" t="s">
        <v>818</v>
      </c>
      <c r="E50" s="108" t="s">
        <v>788</v>
      </c>
      <c r="F50" s="111" t="s">
        <v>789</v>
      </c>
      <c r="G50" s="110" t="s">
        <v>848</v>
      </c>
    </row>
    <row r="51" customFormat="false" ht="15" hidden="false" customHeight="true" outlineLevel="0" collapsed="false">
      <c r="A51" s="108" t="n">
        <v>50</v>
      </c>
      <c r="B51" s="108" t="s">
        <v>846</v>
      </c>
      <c r="C51" s="108" t="s">
        <v>850</v>
      </c>
      <c r="D51" s="108" t="s">
        <v>818</v>
      </c>
      <c r="E51" s="108" t="s">
        <v>788</v>
      </c>
      <c r="F51" s="111" t="s">
        <v>789</v>
      </c>
      <c r="G51" s="110" t="s">
        <v>851</v>
      </c>
    </row>
    <row r="52" customFormat="false" ht="15" hidden="false" customHeight="true" outlineLevel="0" collapsed="false">
      <c r="A52" s="108" t="n">
        <v>51</v>
      </c>
      <c r="B52" s="108" t="s">
        <v>846</v>
      </c>
      <c r="C52" s="108" t="s">
        <v>852</v>
      </c>
      <c r="D52" s="108" t="s">
        <v>818</v>
      </c>
      <c r="E52" s="108" t="s">
        <v>785</v>
      </c>
      <c r="F52" s="109" t="s">
        <v>786</v>
      </c>
      <c r="G52" s="110" t="s">
        <v>853</v>
      </c>
    </row>
    <row r="53" customFormat="false" ht="15" hidden="false" customHeight="true" outlineLevel="0" collapsed="false">
      <c r="A53" s="108" t="n">
        <v>52</v>
      </c>
      <c r="B53" s="108" t="s">
        <v>846</v>
      </c>
      <c r="C53" s="108" t="s">
        <v>262</v>
      </c>
      <c r="D53" s="108" t="s">
        <v>784</v>
      </c>
      <c r="E53" s="108" t="s">
        <v>793</v>
      </c>
      <c r="F53" s="111" t="s">
        <v>789</v>
      </c>
      <c r="G53" s="110" t="s">
        <v>854</v>
      </c>
    </row>
    <row r="54" customFormat="false" ht="15" hidden="false" customHeight="true" outlineLevel="0" collapsed="false">
      <c r="A54" s="108" t="n">
        <v>53</v>
      </c>
      <c r="B54" s="108" t="s">
        <v>846</v>
      </c>
      <c r="C54" s="108" t="s">
        <v>268</v>
      </c>
      <c r="D54" s="108" t="s">
        <v>784</v>
      </c>
      <c r="E54" s="108" t="s">
        <v>793</v>
      </c>
      <c r="F54" s="111" t="s">
        <v>789</v>
      </c>
      <c r="G54" s="110" t="s">
        <v>855</v>
      </c>
    </row>
    <row r="55" customFormat="false" ht="15" hidden="false" customHeight="true" outlineLevel="0" collapsed="false">
      <c r="A55" s="108" t="n">
        <v>54</v>
      </c>
      <c r="B55" s="108" t="s">
        <v>846</v>
      </c>
      <c r="C55" s="108" t="s">
        <v>856</v>
      </c>
      <c r="D55" s="108" t="s">
        <v>818</v>
      </c>
      <c r="E55" s="108" t="s">
        <v>788</v>
      </c>
      <c r="F55" s="109" t="s">
        <v>786</v>
      </c>
      <c r="G55" s="110" t="s">
        <v>857</v>
      </c>
    </row>
    <row r="56" customFormat="false" ht="15" hidden="false" customHeight="true" outlineLevel="0" collapsed="false">
      <c r="A56" s="108" t="n">
        <v>55</v>
      </c>
      <c r="B56" s="108" t="s">
        <v>846</v>
      </c>
      <c r="C56" s="108" t="s">
        <v>858</v>
      </c>
      <c r="D56" s="108" t="s">
        <v>818</v>
      </c>
      <c r="E56" s="108" t="s">
        <v>793</v>
      </c>
      <c r="F56" s="111" t="s">
        <v>789</v>
      </c>
      <c r="G56" s="110" t="s">
        <v>859</v>
      </c>
    </row>
    <row r="57" customFormat="false" ht="15" hidden="false" customHeight="true" outlineLevel="0" collapsed="false">
      <c r="A57" s="108" t="n">
        <v>56</v>
      </c>
      <c r="B57" s="108" t="s">
        <v>860</v>
      </c>
      <c r="C57" s="108" t="s">
        <v>861</v>
      </c>
      <c r="D57" s="108" t="s">
        <v>818</v>
      </c>
      <c r="E57" s="108" t="s">
        <v>785</v>
      </c>
      <c r="F57" s="109" t="s">
        <v>786</v>
      </c>
      <c r="G57" s="110" t="s">
        <v>862</v>
      </c>
    </row>
    <row r="58" customFormat="false" ht="15" hidden="false" customHeight="true" outlineLevel="0" collapsed="false">
      <c r="A58" s="108" t="n">
        <v>57</v>
      </c>
      <c r="B58" s="108" t="s">
        <v>860</v>
      </c>
      <c r="C58" s="108" t="s">
        <v>863</v>
      </c>
      <c r="D58" s="108" t="s">
        <v>818</v>
      </c>
      <c r="E58" s="108" t="s">
        <v>788</v>
      </c>
      <c r="F58" s="109" t="s">
        <v>786</v>
      </c>
      <c r="G58" s="110" t="s">
        <v>864</v>
      </c>
    </row>
    <row r="59" customFormat="false" ht="15" hidden="false" customHeight="true" outlineLevel="0" collapsed="false">
      <c r="A59" s="108" t="n">
        <v>58</v>
      </c>
      <c r="B59" s="108" t="s">
        <v>860</v>
      </c>
      <c r="C59" s="108" t="s">
        <v>865</v>
      </c>
      <c r="D59" s="108" t="s">
        <v>818</v>
      </c>
      <c r="E59" s="108" t="s">
        <v>793</v>
      </c>
      <c r="F59" s="111" t="s">
        <v>789</v>
      </c>
      <c r="G59" s="110" t="s">
        <v>866</v>
      </c>
    </row>
    <row r="60" customFormat="false" ht="15" hidden="false" customHeight="true" outlineLevel="0" collapsed="false">
      <c r="A60" s="108" t="n">
        <v>59</v>
      </c>
      <c r="B60" s="108" t="s">
        <v>860</v>
      </c>
      <c r="C60" s="108" t="s">
        <v>867</v>
      </c>
      <c r="D60" s="108" t="s">
        <v>818</v>
      </c>
      <c r="E60" s="108" t="s">
        <v>793</v>
      </c>
      <c r="F60" s="111" t="s">
        <v>789</v>
      </c>
      <c r="G60" s="110" t="s">
        <v>868</v>
      </c>
    </row>
    <row r="61" customFormat="false" ht="15" hidden="false" customHeight="true" outlineLevel="0" collapsed="false">
      <c r="A61" s="108" t="n">
        <v>60</v>
      </c>
      <c r="B61" s="108" t="s">
        <v>860</v>
      </c>
      <c r="C61" s="108" t="s">
        <v>869</v>
      </c>
      <c r="D61" s="108" t="s">
        <v>818</v>
      </c>
      <c r="E61" s="108" t="s">
        <v>793</v>
      </c>
      <c r="F61" s="111" t="s">
        <v>789</v>
      </c>
      <c r="G61" s="110" t="s">
        <v>870</v>
      </c>
    </row>
    <row r="62" customFormat="false" ht="15" hidden="false" customHeight="true" outlineLevel="0" collapsed="false">
      <c r="A62" s="108" t="n">
        <v>61</v>
      </c>
      <c r="B62" s="108" t="s">
        <v>860</v>
      </c>
      <c r="C62" s="108" t="s">
        <v>871</v>
      </c>
      <c r="D62" s="108" t="s">
        <v>818</v>
      </c>
      <c r="E62" s="108" t="s">
        <v>785</v>
      </c>
      <c r="F62" s="109" t="s">
        <v>786</v>
      </c>
      <c r="G62" s="110" t="s">
        <v>872</v>
      </c>
    </row>
    <row r="63" customFormat="false" ht="15" hidden="false" customHeight="true" outlineLevel="0" collapsed="false">
      <c r="A63" s="108" t="n">
        <v>62</v>
      </c>
      <c r="B63" s="108" t="s">
        <v>860</v>
      </c>
      <c r="C63" s="108" t="s">
        <v>275</v>
      </c>
      <c r="D63" s="108" t="s">
        <v>784</v>
      </c>
      <c r="E63" s="108" t="s">
        <v>785</v>
      </c>
      <c r="F63" s="109" t="s">
        <v>786</v>
      </c>
      <c r="G63" s="110" t="s">
        <v>873</v>
      </c>
    </row>
    <row r="64" customFormat="false" ht="15" hidden="false" customHeight="true" outlineLevel="0" collapsed="false">
      <c r="A64" s="108" t="n">
        <v>63</v>
      </c>
      <c r="B64" s="108" t="s">
        <v>874</v>
      </c>
      <c r="C64" s="108" t="s">
        <v>875</v>
      </c>
      <c r="D64" s="108" t="s">
        <v>818</v>
      </c>
      <c r="E64" s="108" t="s">
        <v>788</v>
      </c>
      <c r="F64" s="111" t="s">
        <v>789</v>
      </c>
      <c r="G64" s="110" t="s">
        <v>876</v>
      </c>
    </row>
    <row r="65" customFormat="false" ht="15" hidden="false" customHeight="true" outlineLevel="0" collapsed="false">
      <c r="A65" s="108" t="n">
        <v>64</v>
      </c>
      <c r="B65" s="108" t="s">
        <v>874</v>
      </c>
      <c r="C65" s="108" t="s">
        <v>877</v>
      </c>
      <c r="D65" s="108" t="s">
        <v>818</v>
      </c>
      <c r="E65" s="108" t="s">
        <v>788</v>
      </c>
      <c r="F65" s="111" t="s">
        <v>789</v>
      </c>
      <c r="G65" s="110" t="s">
        <v>832</v>
      </c>
    </row>
    <row r="66" customFormat="false" ht="15" hidden="false" customHeight="true" outlineLevel="0" collapsed="false">
      <c r="A66" s="108" t="n">
        <v>65</v>
      </c>
      <c r="B66" s="108" t="s">
        <v>874</v>
      </c>
      <c r="C66" s="108" t="s">
        <v>878</v>
      </c>
      <c r="D66" s="108" t="s">
        <v>818</v>
      </c>
      <c r="E66" s="108" t="s">
        <v>793</v>
      </c>
      <c r="F66" s="111" t="s">
        <v>789</v>
      </c>
      <c r="G66" s="110" t="s">
        <v>879</v>
      </c>
    </row>
    <row r="67" customFormat="false" ht="15" hidden="false" customHeight="true" outlineLevel="0" collapsed="false">
      <c r="A67" s="108" t="n">
        <v>66</v>
      </c>
      <c r="B67" s="108" t="s">
        <v>874</v>
      </c>
      <c r="C67" s="108" t="s">
        <v>880</v>
      </c>
      <c r="D67" s="108" t="s">
        <v>818</v>
      </c>
      <c r="E67" s="108" t="s">
        <v>788</v>
      </c>
      <c r="F67" s="109" t="s">
        <v>786</v>
      </c>
      <c r="G67" s="110" t="s">
        <v>881</v>
      </c>
    </row>
    <row r="68" customFormat="false" ht="15" hidden="false" customHeight="true" outlineLevel="0" collapsed="false">
      <c r="A68" s="108" t="n">
        <v>67</v>
      </c>
      <c r="B68" s="108" t="s">
        <v>874</v>
      </c>
      <c r="C68" s="108" t="s">
        <v>882</v>
      </c>
      <c r="D68" s="108" t="s">
        <v>818</v>
      </c>
      <c r="E68" s="108" t="s">
        <v>793</v>
      </c>
      <c r="F68" s="111" t="s">
        <v>789</v>
      </c>
      <c r="G68" s="110" t="s">
        <v>883</v>
      </c>
    </row>
    <row r="69" customFormat="false" ht="15" hidden="false" customHeight="true" outlineLevel="0" collapsed="false">
      <c r="A69" s="108" t="n">
        <v>68</v>
      </c>
      <c r="B69" s="108" t="s">
        <v>874</v>
      </c>
      <c r="C69" s="108" t="s">
        <v>884</v>
      </c>
      <c r="D69" s="108" t="s">
        <v>818</v>
      </c>
      <c r="E69" s="108" t="s">
        <v>793</v>
      </c>
      <c r="F69" s="111" t="s">
        <v>789</v>
      </c>
      <c r="G69" s="110" t="s">
        <v>885</v>
      </c>
    </row>
    <row r="70" customFormat="false" ht="15" hidden="false" customHeight="true" outlineLevel="0" collapsed="false">
      <c r="A70" s="108" t="n">
        <v>69</v>
      </c>
      <c r="B70" s="108" t="s">
        <v>874</v>
      </c>
      <c r="C70" s="108" t="s">
        <v>886</v>
      </c>
      <c r="D70" s="108" t="s">
        <v>818</v>
      </c>
      <c r="E70" s="108" t="s">
        <v>788</v>
      </c>
      <c r="F70" s="111" t="s">
        <v>789</v>
      </c>
      <c r="G70" s="110" t="s">
        <v>887</v>
      </c>
    </row>
    <row r="71" customFormat="false" ht="15" hidden="false" customHeight="true" outlineLevel="0" collapsed="false">
      <c r="A71" s="108" t="n">
        <v>70</v>
      </c>
      <c r="B71" s="108" t="s">
        <v>874</v>
      </c>
      <c r="C71" s="108" t="s">
        <v>888</v>
      </c>
      <c r="D71" s="108" t="s">
        <v>818</v>
      </c>
      <c r="E71" s="108" t="s">
        <v>793</v>
      </c>
      <c r="F71" s="111" t="s">
        <v>789</v>
      </c>
      <c r="G71" s="110" t="s">
        <v>889</v>
      </c>
    </row>
    <row r="72" customFormat="false" ht="15" hidden="false" customHeight="true" outlineLevel="0" collapsed="false">
      <c r="A72" s="108" t="n">
        <v>71</v>
      </c>
      <c r="B72" s="108" t="s">
        <v>890</v>
      </c>
      <c r="C72" s="108" t="s">
        <v>281</v>
      </c>
      <c r="D72" s="108" t="s">
        <v>828</v>
      </c>
      <c r="E72" s="108" t="s">
        <v>793</v>
      </c>
      <c r="F72" s="111" t="s">
        <v>789</v>
      </c>
      <c r="G72" s="110" t="s">
        <v>891</v>
      </c>
    </row>
    <row r="73" customFormat="false" ht="15" hidden="false" customHeight="true" outlineLevel="0" collapsed="false">
      <c r="A73" s="108" t="n">
        <v>72</v>
      </c>
      <c r="B73" s="108" t="s">
        <v>890</v>
      </c>
      <c r="C73" s="108" t="s">
        <v>287</v>
      </c>
      <c r="D73" s="108" t="s">
        <v>828</v>
      </c>
      <c r="E73" s="108" t="s">
        <v>793</v>
      </c>
      <c r="F73" s="111" t="s">
        <v>789</v>
      </c>
      <c r="G73" s="110" t="s">
        <v>892</v>
      </c>
    </row>
    <row r="74" customFormat="false" ht="15" hidden="false" customHeight="true" outlineLevel="0" collapsed="false">
      <c r="A74" s="108" t="n">
        <v>73</v>
      </c>
      <c r="B74" s="108" t="s">
        <v>890</v>
      </c>
      <c r="C74" s="108" t="s">
        <v>893</v>
      </c>
      <c r="D74" s="108" t="s">
        <v>818</v>
      </c>
      <c r="E74" s="108" t="s">
        <v>785</v>
      </c>
      <c r="F74" s="109" t="s">
        <v>786</v>
      </c>
      <c r="G74" s="110" t="s">
        <v>894</v>
      </c>
    </row>
    <row r="75" customFormat="false" ht="15" hidden="false" customHeight="true" outlineLevel="0" collapsed="false">
      <c r="A75" s="108" t="n">
        <v>74</v>
      </c>
      <c r="B75" s="108" t="s">
        <v>890</v>
      </c>
      <c r="C75" s="108" t="s">
        <v>293</v>
      </c>
      <c r="D75" s="108" t="s">
        <v>784</v>
      </c>
      <c r="E75" s="108" t="s">
        <v>785</v>
      </c>
      <c r="F75" s="111" t="s">
        <v>789</v>
      </c>
      <c r="G75" s="110" t="s">
        <v>895</v>
      </c>
    </row>
    <row r="76" customFormat="false" ht="15" hidden="false" customHeight="true" outlineLevel="0" collapsed="false">
      <c r="A76" s="108" t="n">
        <v>75</v>
      </c>
      <c r="B76" s="108" t="s">
        <v>890</v>
      </c>
      <c r="C76" s="108" t="s">
        <v>299</v>
      </c>
      <c r="D76" s="108" t="s">
        <v>784</v>
      </c>
      <c r="E76" s="108" t="s">
        <v>793</v>
      </c>
      <c r="F76" s="111" t="s">
        <v>789</v>
      </c>
      <c r="G76" s="110" t="s">
        <v>896</v>
      </c>
    </row>
    <row r="77" customFormat="false" ht="15" hidden="false" customHeight="true" outlineLevel="0" collapsed="false">
      <c r="A77" s="108" t="n">
        <v>76</v>
      </c>
      <c r="B77" s="108" t="s">
        <v>890</v>
      </c>
      <c r="C77" s="108" t="s">
        <v>897</v>
      </c>
      <c r="D77" s="108" t="s">
        <v>818</v>
      </c>
      <c r="E77" s="108" t="s">
        <v>793</v>
      </c>
      <c r="F77" s="109" t="s">
        <v>786</v>
      </c>
      <c r="G77" s="110" t="s">
        <v>898</v>
      </c>
    </row>
    <row r="78" customFormat="false" ht="15" hidden="false" customHeight="true" outlineLevel="0" collapsed="false">
      <c r="A78" s="108" t="n">
        <v>77</v>
      </c>
      <c r="B78" s="108" t="s">
        <v>899</v>
      </c>
      <c r="C78" s="108" t="s">
        <v>306</v>
      </c>
      <c r="D78" s="108" t="s">
        <v>828</v>
      </c>
      <c r="E78" s="108" t="s">
        <v>793</v>
      </c>
      <c r="F78" s="111" t="s">
        <v>789</v>
      </c>
      <c r="G78" s="110" t="s">
        <v>900</v>
      </c>
    </row>
    <row r="79" customFormat="false" ht="15" hidden="false" customHeight="true" outlineLevel="0" collapsed="false">
      <c r="A79" s="108" t="n">
        <v>78</v>
      </c>
      <c r="B79" s="108" t="s">
        <v>899</v>
      </c>
      <c r="C79" s="108" t="s">
        <v>901</v>
      </c>
      <c r="D79" s="108" t="s">
        <v>818</v>
      </c>
      <c r="E79" s="108" t="s">
        <v>793</v>
      </c>
      <c r="F79" s="111" t="s">
        <v>789</v>
      </c>
      <c r="G79" s="110" t="s">
        <v>902</v>
      </c>
    </row>
    <row r="80" customFormat="false" ht="15" hidden="false" customHeight="true" outlineLevel="0" collapsed="false">
      <c r="A80" s="108" t="n">
        <v>79</v>
      </c>
      <c r="B80" s="108" t="s">
        <v>899</v>
      </c>
      <c r="C80" s="108" t="s">
        <v>312</v>
      </c>
      <c r="D80" s="108" t="s">
        <v>828</v>
      </c>
      <c r="E80" s="108" t="s">
        <v>785</v>
      </c>
      <c r="F80" s="111" t="s">
        <v>789</v>
      </c>
      <c r="G80" s="110" t="s">
        <v>903</v>
      </c>
    </row>
    <row r="81" customFormat="false" ht="15" hidden="false" customHeight="true" outlineLevel="0" collapsed="false">
      <c r="A81" s="108" t="n">
        <v>80</v>
      </c>
      <c r="B81" s="108" t="s">
        <v>899</v>
      </c>
      <c r="C81" s="108" t="s">
        <v>318</v>
      </c>
      <c r="D81" s="108" t="s">
        <v>828</v>
      </c>
      <c r="E81" s="108" t="s">
        <v>785</v>
      </c>
      <c r="F81" s="111" t="s">
        <v>789</v>
      </c>
      <c r="G81" s="110" t="s">
        <v>904</v>
      </c>
    </row>
    <row r="82" customFormat="false" ht="15" hidden="false" customHeight="true" outlineLevel="0" collapsed="false">
      <c r="A82" s="108" t="n">
        <v>81</v>
      </c>
      <c r="B82" s="108" t="s">
        <v>899</v>
      </c>
      <c r="C82" s="108" t="s">
        <v>905</v>
      </c>
      <c r="D82" s="108" t="s">
        <v>818</v>
      </c>
      <c r="E82" s="108" t="s">
        <v>793</v>
      </c>
      <c r="F82" s="111" t="s">
        <v>789</v>
      </c>
      <c r="G82" s="110" t="s">
        <v>906</v>
      </c>
    </row>
    <row r="83" customFormat="false" ht="15" hidden="false" customHeight="true" outlineLevel="0" collapsed="false">
      <c r="A83" s="108" t="n">
        <v>82</v>
      </c>
      <c r="B83" s="108" t="s">
        <v>899</v>
      </c>
      <c r="C83" s="108" t="s">
        <v>323</v>
      </c>
      <c r="D83" s="108" t="s">
        <v>784</v>
      </c>
      <c r="E83" s="108" t="s">
        <v>793</v>
      </c>
      <c r="F83" s="109" t="s">
        <v>786</v>
      </c>
      <c r="G83" s="110" t="s">
        <v>907</v>
      </c>
    </row>
    <row r="84" customFormat="false" ht="15" hidden="false" customHeight="true" outlineLevel="0" collapsed="false">
      <c r="A84" s="108" t="n">
        <v>83</v>
      </c>
      <c r="B84" s="108" t="s">
        <v>908</v>
      </c>
      <c r="C84" s="108" t="s">
        <v>909</v>
      </c>
      <c r="D84" s="108" t="s">
        <v>818</v>
      </c>
      <c r="E84" s="108" t="s">
        <v>788</v>
      </c>
      <c r="F84" s="111" t="s">
        <v>789</v>
      </c>
      <c r="G84" s="110" t="s">
        <v>910</v>
      </c>
    </row>
    <row r="85" customFormat="false" ht="15" hidden="false" customHeight="true" outlineLevel="0" collapsed="false">
      <c r="A85" s="108" t="n">
        <v>84</v>
      </c>
      <c r="B85" s="108" t="s">
        <v>908</v>
      </c>
      <c r="C85" s="108" t="s">
        <v>911</v>
      </c>
      <c r="D85" s="108" t="s">
        <v>818</v>
      </c>
      <c r="E85" s="108" t="s">
        <v>788</v>
      </c>
      <c r="F85" s="111" t="s">
        <v>789</v>
      </c>
      <c r="G85" s="110" t="s">
        <v>912</v>
      </c>
    </row>
    <row r="86" customFormat="false" ht="15" hidden="false" customHeight="true" outlineLevel="0" collapsed="false">
      <c r="A86" s="108" t="n">
        <v>85</v>
      </c>
      <c r="B86" s="108" t="s">
        <v>908</v>
      </c>
      <c r="C86" s="108" t="s">
        <v>330</v>
      </c>
      <c r="D86" s="108" t="s">
        <v>784</v>
      </c>
      <c r="E86" s="108" t="s">
        <v>793</v>
      </c>
      <c r="F86" s="109" t="s">
        <v>786</v>
      </c>
      <c r="G86" s="110" t="s">
        <v>913</v>
      </c>
    </row>
    <row r="87" customFormat="false" ht="15" hidden="false" customHeight="true" outlineLevel="0" collapsed="false">
      <c r="A87" s="108" t="n">
        <v>86</v>
      </c>
      <c r="B87" s="108" t="s">
        <v>908</v>
      </c>
      <c r="C87" s="108" t="s">
        <v>914</v>
      </c>
      <c r="D87" s="108" t="s">
        <v>818</v>
      </c>
      <c r="E87" s="108" t="s">
        <v>793</v>
      </c>
      <c r="F87" s="111" t="s">
        <v>789</v>
      </c>
      <c r="G87" s="110" t="s">
        <v>915</v>
      </c>
    </row>
    <row r="88" customFormat="false" ht="15" hidden="false" customHeight="true" outlineLevel="0" collapsed="false">
      <c r="A88" s="108" t="n">
        <v>87</v>
      </c>
      <c r="B88" s="108" t="s">
        <v>908</v>
      </c>
      <c r="C88" s="108" t="s">
        <v>916</v>
      </c>
      <c r="D88" s="108" t="s">
        <v>818</v>
      </c>
      <c r="E88" s="108" t="s">
        <v>793</v>
      </c>
      <c r="F88" s="111" t="s">
        <v>789</v>
      </c>
      <c r="G88" s="110" t="s">
        <v>917</v>
      </c>
    </row>
    <row r="89" customFormat="false" ht="15" hidden="false" customHeight="true" outlineLevel="0" collapsed="false">
      <c r="A89" s="108" t="n">
        <v>88</v>
      </c>
      <c r="B89" s="108" t="s">
        <v>908</v>
      </c>
      <c r="C89" s="108" t="s">
        <v>918</v>
      </c>
      <c r="D89" s="108" t="s">
        <v>818</v>
      </c>
      <c r="E89" s="108" t="s">
        <v>793</v>
      </c>
      <c r="F89" s="111" t="s">
        <v>789</v>
      </c>
      <c r="G89" s="110" t="s">
        <v>919</v>
      </c>
    </row>
    <row r="90" customFormat="false" ht="15" hidden="false" customHeight="true" outlineLevel="0" collapsed="false">
      <c r="A90" s="108" t="n">
        <v>89</v>
      </c>
      <c r="B90" s="108" t="s">
        <v>908</v>
      </c>
      <c r="C90" s="108" t="s">
        <v>335</v>
      </c>
      <c r="D90" s="108" t="s">
        <v>784</v>
      </c>
      <c r="E90" s="108" t="s">
        <v>793</v>
      </c>
      <c r="F90" s="109" t="s">
        <v>786</v>
      </c>
      <c r="G90" s="110" t="s">
        <v>920</v>
      </c>
    </row>
    <row r="91" customFormat="false" ht="15" hidden="false" customHeight="true" outlineLevel="0" collapsed="false">
      <c r="A91" s="108" t="n">
        <v>90</v>
      </c>
      <c r="B91" s="108" t="s">
        <v>908</v>
      </c>
      <c r="C91" s="108" t="s">
        <v>340</v>
      </c>
      <c r="D91" s="108" t="s">
        <v>784</v>
      </c>
      <c r="E91" s="108" t="s">
        <v>793</v>
      </c>
      <c r="F91" s="109" t="s">
        <v>786</v>
      </c>
      <c r="G91" s="110" t="s">
        <v>920</v>
      </c>
    </row>
    <row r="92" customFormat="false" ht="15" hidden="false" customHeight="true" outlineLevel="0" collapsed="false">
      <c r="A92" s="108" t="n">
        <v>91</v>
      </c>
      <c r="B92" s="108" t="s">
        <v>908</v>
      </c>
      <c r="C92" s="108" t="s">
        <v>345</v>
      </c>
      <c r="D92" s="108" t="s">
        <v>784</v>
      </c>
      <c r="E92" s="108" t="s">
        <v>793</v>
      </c>
      <c r="F92" s="111" t="s">
        <v>789</v>
      </c>
      <c r="G92" s="110" t="s">
        <v>921</v>
      </c>
    </row>
    <row r="93" customFormat="false" ht="15" hidden="false" customHeight="true" outlineLevel="0" collapsed="false">
      <c r="A93" s="108" t="n">
        <v>92</v>
      </c>
      <c r="B93" s="108" t="s">
        <v>922</v>
      </c>
      <c r="C93" s="108" t="s">
        <v>351</v>
      </c>
      <c r="D93" s="108" t="s">
        <v>784</v>
      </c>
      <c r="E93" s="108" t="s">
        <v>788</v>
      </c>
      <c r="F93" s="109" t="s">
        <v>786</v>
      </c>
      <c r="G93" s="110" t="s">
        <v>923</v>
      </c>
    </row>
    <row r="94" customFormat="false" ht="15" hidden="false" customHeight="true" outlineLevel="0" collapsed="false">
      <c r="A94" s="108" t="n">
        <v>93</v>
      </c>
      <c r="B94" s="108" t="s">
        <v>922</v>
      </c>
      <c r="C94" s="108" t="s">
        <v>356</v>
      </c>
      <c r="D94" s="108" t="s">
        <v>784</v>
      </c>
      <c r="E94" s="108" t="s">
        <v>785</v>
      </c>
      <c r="F94" s="109" t="s">
        <v>786</v>
      </c>
      <c r="G94" s="110" t="s">
        <v>924</v>
      </c>
    </row>
    <row r="95" customFormat="false" ht="15" hidden="false" customHeight="true" outlineLevel="0" collapsed="false">
      <c r="A95" s="108" t="n">
        <v>94</v>
      </c>
      <c r="B95" s="108" t="s">
        <v>922</v>
      </c>
      <c r="C95" s="108" t="s">
        <v>925</v>
      </c>
      <c r="D95" s="108" t="s">
        <v>818</v>
      </c>
      <c r="E95" s="108" t="s">
        <v>785</v>
      </c>
      <c r="F95" s="109" t="s">
        <v>786</v>
      </c>
      <c r="G95" s="110" t="s">
        <v>926</v>
      </c>
    </row>
    <row r="96" customFormat="false" ht="15" hidden="false" customHeight="true" outlineLevel="0" collapsed="false">
      <c r="A96" s="108" t="n">
        <v>95</v>
      </c>
      <c r="B96" s="108" t="s">
        <v>922</v>
      </c>
      <c r="C96" s="108" t="s">
        <v>361</v>
      </c>
      <c r="D96" s="108" t="s">
        <v>828</v>
      </c>
      <c r="E96" s="108" t="s">
        <v>788</v>
      </c>
      <c r="F96" s="111" t="s">
        <v>789</v>
      </c>
      <c r="G96" s="110" t="s">
        <v>927</v>
      </c>
    </row>
    <row r="97" customFormat="false" ht="15" hidden="false" customHeight="true" outlineLevel="0" collapsed="false">
      <c r="A97" s="108" t="n">
        <v>96</v>
      </c>
      <c r="B97" s="108" t="s">
        <v>922</v>
      </c>
      <c r="C97" s="108" t="s">
        <v>367</v>
      </c>
      <c r="D97" s="108" t="s">
        <v>784</v>
      </c>
      <c r="E97" s="108" t="s">
        <v>793</v>
      </c>
      <c r="F97" s="111" t="s">
        <v>789</v>
      </c>
      <c r="G97" s="110" t="s">
        <v>928</v>
      </c>
    </row>
    <row r="98" customFormat="false" ht="15" hidden="false" customHeight="true" outlineLevel="0" collapsed="false">
      <c r="A98" s="108" t="n">
        <v>97</v>
      </c>
      <c r="B98" s="108" t="s">
        <v>922</v>
      </c>
      <c r="C98" s="108" t="s">
        <v>372</v>
      </c>
      <c r="D98" s="108" t="s">
        <v>784</v>
      </c>
      <c r="E98" s="108" t="s">
        <v>793</v>
      </c>
      <c r="F98" s="109" t="s">
        <v>786</v>
      </c>
      <c r="G98" s="110" t="s">
        <v>929</v>
      </c>
    </row>
    <row r="99" customFormat="false" ht="15" hidden="false" customHeight="true" outlineLevel="0" collapsed="false">
      <c r="A99" s="108" t="n">
        <v>98</v>
      </c>
      <c r="B99" s="108" t="s">
        <v>922</v>
      </c>
      <c r="C99" s="108" t="s">
        <v>930</v>
      </c>
      <c r="D99" s="108" t="s">
        <v>784</v>
      </c>
      <c r="E99" s="108" t="s">
        <v>793</v>
      </c>
      <c r="F99" s="111" t="s">
        <v>789</v>
      </c>
      <c r="G99" s="110" t="s">
        <v>931</v>
      </c>
    </row>
    <row r="100" customFormat="false" ht="15" hidden="false" customHeight="true" outlineLevel="0" collapsed="false">
      <c r="A100" s="108" t="n">
        <v>99</v>
      </c>
      <c r="B100" s="108" t="s">
        <v>922</v>
      </c>
      <c r="C100" s="108" t="s">
        <v>383</v>
      </c>
      <c r="D100" s="108" t="s">
        <v>784</v>
      </c>
      <c r="E100" s="108" t="s">
        <v>785</v>
      </c>
      <c r="F100" s="109" t="s">
        <v>786</v>
      </c>
      <c r="G100" s="110" t="s">
        <v>932</v>
      </c>
    </row>
    <row r="101" customFormat="false" ht="15" hidden="false" customHeight="true" outlineLevel="0" collapsed="false">
      <c r="A101" s="108" t="n">
        <v>100</v>
      </c>
      <c r="B101" s="108" t="s">
        <v>922</v>
      </c>
      <c r="C101" s="108" t="s">
        <v>388</v>
      </c>
      <c r="D101" s="108" t="s">
        <v>784</v>
      </c>
      <c r="E101" s="108" t="s">
        <v>793</v>
      </c>
      <c r="F101" s="111" t="s">
        <v>789</v>
      </c>
      <c r="G101" s="110" t="s">
        <v>933</v>
      </c>
    </row>
    <row r="102" customFormat="false" ht="15" hidden="false" customHeight="true" outlineLevel="0" collapsed="false">
      <c r="A102" s="108" t="n">
        <v>101</v>
      </c>
      <c r="B102" s="108" t="s">
        <v>934</v>
      </c>
      <c r="C102" s="108" t="s">
        <v>935</v>
      </c>
      <c r="D102" s="108" t="s">
        <v>818</v>
      </c>
      <c r="E102" s="108" t="s">
        <v>793</v>
      </c>
      <c r="F102" s="111" t="s">
        <v>789</v>
      </c>
      <c r="G102" s="110" t="s">
        <v>936</v>
      </c>
    </row>
    <row r="103" customFormat="false" ht="15" hidden="false" customHeight="true" outlineLevel="0" collapsed="false">
      <c r="A103" s="108" t="n">
        <v>102</v>
      </c>
      <c r="B103" s="108" t="s">
        <v>934</v>
      </c>
      <c r="C103" s="108" t="s">
        <v>937</v>
      </c>
      <c r="D103" s="108" t="s">
        <v>818</v>
      </c>
      <c r="E103" s="108" t="s">
        <v>793</v>
      </c>
      <c r="F103" s="111" t="s">
        <v>789</v>
      </c>
      <c r="G103" s="110" t="s">
        <v>938</v>
      </c>
    </row>
    <row r="104" customFormat="false" ht="15" hidden="false" customHeight="true" outlineLevel="0" collapsed="false">
      <c r="A104" s="108" t="n">
        <v>103</v>
      </c>
      <c r="B104" s="108" t="s">
        <v>934</v>
      </c>
      <c r="C104" s="108" t="s">
        <v>939</v>
      </c>
      <c r="D104" s="108" t="s">
        <v>818</v>
      </c>
      <c r="E104" s="108" t="s">
        <v>793</v>
      </c>
      <c r="F104" s="111" t="s">
        <v>789</v>
      </c>
      <c r="G104" s="110" t="s">
        <v>940</v>
      </c>
    </row>
    <row r="105" customFormat="false" ht="15" hidden="false" customHeight="true" outlineLevel="0" collapsed="false">
      <c r="A105" s="108" t="n">
        <v>104</v>
      </c>
      <c r="B105" s="108" t="s">
        <v>934</v>
      </c>
      <c r="C105" s="108" t="s">
        <v>394</v>
      </c>
      <c r="D105" s="108" t="s">
        <v>784</v>
      </c>
      <c r="E105" s="108" t="s">
        <v>793</v>
      </c>
      <c r="F105" s="111" t="s">
        <v>789</v>
      </c>
      <c r="G105" s="110" t="s">
        <v>941</v>
      </c>
    </row>
    <row r="106" customFormat="false" ht="15" hidden="false" customHeight="true" outlineLevel="0" collapsed="false">
      <c r="A106" s="108" t="n">
        <v>105</v>
      </c>
      <c r="B106" s="108" t="s">
        <v>934</v>
      </c>
      <c r="C106" s="108" t="s">
        <v>400</v>
      </c>
      <c r="D106" s="108" t="s">
        <v>784</v>
      </c>
      <c r="E106" s="108" t="s">
        <v>785</v>
      </c>
      <c r="F106" s="109" t="s">
        <v>786</v>
      </c>
      <c r="G106" s="110" t="s">
        <v>942</v>
      </c>
    </row>
    <row r="107" customFormat="false" ht="15" hidden="false" customHeight="true" outlineLevel="0" collapsed="false">
      <c r="A107" s="108" t="n">
        <v>106</v>
      </c>
      <c r="B107" s="108" t="s">
        <v>934</v>
      </c>
      <c r="C107" s="108" t="s">
        <v>405</v>
      </c>
      <c r="D107" s="108" t="s">
        <v>784</v>
      </c>
      <c r="E107" s="108" t="s">
        <v>785</v>
      </c>
      <c r="F107" s="109" t="s">
        <v>786</v>
      </c>
      <c r="G107" s="110" t="s">
        <v>943</v>
      </c>
    </row>
    <row r="108" customFormat="false" ht="15" hidden="false" customHeight="true" outlineLevel="0" collapsed="false">
      <c r="A108" s="108" t="n">
        <v>107</v>
      </c>
      <c r="B108" s="108" t="s">
        <v>934</v>
      </c>
      <c r="C108" s="108" t="s">
        <v>944</v>
      </c>
      <c r="D108" s="108" t="s">
        <v>818</v>
      </c>
      <c r="E108" s="108" t="s">
        <v>793</v>
      </c>
      <c r="F108" s="111" t="s">
        <v>789</v>
      </c>
      <c r="G108" s="110" t="s">
        <v>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5"/>
    <col collapsed="false" customWidth="true" hidden="false" outlineLevel="0" max="3" min="3" style="1" width="22"/>
    <col collapsed="false" customWidth="true" hidden="false" outlineLevel="0" max="5" min="4" style="1" width="16"/>
    <col collapsed="false" customWidth="true" hidden="false" outlineLevel="0" max="6" min="6" style="1" width="45"/>
  </cols>
  <sheetData>
    <row r="1" customFormat="false" ht="27.75" hidden="false" customHeight="true" outlineLevel="0" collapsed="false">
      <c r="A1" s="107" t="s">
        <v>0</v>
      </c>
      <c r="B1" s="107" t="s">
        <v>492</v>
      </c>
      <c r="C1" s="107" t="s">
        <v>946</v>
      </c>
      <c r="D1" s="107" t="s">
        <v>947</v>
      </c>
      <c r="E1" s="107" t="s">
        <v>948</v>
      </c>
      <c r="F1" s="107" t="s">
        <v>949</v>
      </c>
    </row>
    <row r="2" customFormat="false" ht="15" hidden="false" customHeight="true" outlineLevel="0" collapsed="false">
      <c r="A2" s="108" t="n">
        <v>1</v>
      </c>
      <c r="B2" s="108" t="s">
        <v>494</v>
      </c>
      <c r="C2" s="108" t="n">
        <v>4</v>
      </c>
      <c r="D2" s="108" t="n">
        <v>7</v>
      </c>
      <c r="E2" s="112"/>
      <c r="F2" s="110" t="s">
        <v>950</v>
      </c>
    </row>
    <row r="3" customFormat="false" ht="15" hidden="false" customHeight="true" outlineLevel="0" collapsed="false">
      <c r="A3" s="108" t="n">
        <v>2</v>
      </c>
      <c r="B3" s="108" t="s">
        <v>496</v>
      </c>
      <c r="C3" s="108" t="n">
        <v>2</v>
      </c>
      <c r="D3" s="108" t="n">
        <v>7</v>
      </c>
      <c r="E3" s="112"/>
      <c r="F3" s="110" t="s">
        <v>951</v>
      </c>
    </row>
    <row r="4" customFormat="false" ht="15" hidden="false" customHeight="true" outlineLevel="0" collapsed="false">
      <c r="A4" s="108" t="n">
        <v>3</v>
      </c>
      <c r="B4" s="108" t="s">
        <v>498</v>
      </c>
      <c r="C4" s="108" t="n">
        <v>3</v>
      </c>
      <c r="D4" s="108" t="n">
        <v>5</v>
      </c>
      <c r="E4" s="112"/>
      <c r="F4" s="110" t="s">
        <v>952</v>
      </c>
    </row>
    <row r="5" customFormat="false" ht="15" hidden="false" customHeight="true" outlineLevel="0" collapsed="false">
      <c r="A5" s="108" t="n">
        <v>4</v>
      </c>
      <c r="B5" s="108" t="s">
        <v>500</v>
      </c>
      <c r="C5" s="108" t="n">
        <v>4</v>
      </c>
      <c r="D5" s="108" t="n">
        <v>8</v>
      </c>
      <c r="E5" s="112"/>
      <c r="F5" s="110" t="s">
        <v>953</v>
      </c>
    </row>
    <row r="6" customFormat="false" ht="15" hidden="false" customHeight="true" outlineLevel="0" collapsed="false">
      <c r="A6" s="108" t="n">
        <v>5</v>
      </c>
      <c r="B6" s="108" t="s">
        <v>501</v>
      </c>
      <c r="C6" s="108" t="n">
        <v>5</v>
      </c>
      <c r="D6" s="108" t="n">
        <v>10</v>
      </c>
      <c r="E6" s="112"/>
      <c r="F6" s="110" t="s">
        <v>954</v>
      </c>
    </row>
    <row r="7" customFormat="false" ht="15" hidden="false" customHeight="true" outlineLevel="0" collapsed="false">
      <c r="A7" s="108" t="n">
        <v>6</v>
      </c>
      <c r="B7" s="108" t="s">
        <v>503</v>
      </c>
      <c r="C7" s="108" t="n">
        <v>5</v>
      </c>
      <c r="D7" s="108" t="n">
        <v>8</v>
      </c>
      <c r="E7" s="112"/>
      <c r="F7" s="110" t="s">
        <v>955</v>
      </c>
    </row>
    <row r="8" customFormat="false" ht="15" hidden="false" customHeight="true" outlineLevel="0" collapsed="false">
      <c r="A8" s="108" t="n">
        <v>7</v>
      </c>
      <c r="B8" s="108" t="s">
        <v>505</v>
      </c>
      <c r="C8" s="108" t="n">
        <v>4</v>
      </c>
      <c r="D8" s="108" t="n">
        <v>12</v>
      </c>
      <c r="E8" s="112"/>
      <c r="F8" s="110" t="s">
        <v>956</v>
      </c>
    </row>
    <row r="9" customFormat="false" ht="15" hidden="false" customHeight="true" outlineLevel="0" collapsed="false">
      <c r="A9" s="108" t="n">
        <v>8</v>
      </c>
      <c r="B9" s="108" t="s">
        <v>506</v>
      </c>
      <c r="C9" s="108" t="n">
        <v>3</v>
      </c>
      <c r="D9" s="108" t="n">
        <v>8</v>
      </c>
      <c r="E9" s="112"/>
      <c r="F9" s="110" t="s">
        <v>957</v>
      </c>
    </row>
    <row r="10" customFormat="false" ht="15" hidden="false" customHeight="true" outlineLevel="0" collapsed="false">
      <c r="A10" s="108" t="n">
        <v>9</v>
      </c>
      <c r="B10" s="108" t="s">
        <v>508</v>
      </c>
      <c r="C10" s="108" t="n">
        <v>6</v>
      </c>
      <c r="D10" s="108" t="n">
        <v>10</v>
      </c>
      <c r="E10" s="112"/>
      <c r="F10" s="110" t="s">
        <v>958</v>
      </c>
    </row>
    <row r="11" customFormat="false" ht="15" hidden="false" customHeight="true" outlineLevel="0" collapsed="false">
      <c r="A11" s="108" t="n">
        <v>10</v>
      </c>
      <c r="B11" s="108" t="s">
        <v>509</v>
      </c>
      <c r="C11" s="108" t="n">
        <v>3</v>
      </c>
      <c r="D11" s="108" t="n">
        <v>5</v>
      </c>
      <c r="E11" s="112"/>
      <c r="F11" s="110" t="s">
        <v>959</v>
      </c>
    </row>
    <row r="12" customFormat="false" ht="15" hidden="false" customHeight="true" outlineLevel="0" collapsed="false">
      <c r="A12" s="108" t="n">
        <v>11</v>
      </c>
      <c r="B12" s="108" t="s">
        <v>510</v>
      </c>
      <c r="C12" s="108" t="n">
        <v>4</v>
      </c>
      <c r="D12" s="108" t="n">
        <v>7</v>
      </c>
      <c r="E12" s="112"/>
      <c r="F12" s="110" t="s">
        <v>960</v>
      </c>
    </row>
    <row r="13" customFormat="false" ht="15" hidden="false" customHeight="true" outlineLevel="0" collapsed="false">
      <c r="A13" s="108" t="n">
        <v>12</v>
      </c>
      <c r="B13" s="108" t="s">
        <v>511</v>
      </c>
      <c r="C13" s="108" t="n">
        <v>5</v>
      </c>
      <c r="D13" s="108" t="n">
        <v>8</v>
      </c>
      <c r="E13" s="112"/>
      <c r="F13" s="110" t="s">
        <v>961</v>
      </c>
    </row>
    <row r="14" customFormat="false" ht="15" hidden="false" customHeight="true" outlineLevel="0" collapsed="false">
      <c r="A14" s="108" t="n">
        <v>13</v>
      </c>
      <c r="B14" s="108" t="s">
        <v>513</v>
      </c>
      <c r="C14" s="108" t="n">
        <v>3</v>
      </c>
      <c r="D14" s="108" t="n">
        <v>3</v>
      </c>
      <c r="E14" s="112"/>
      <c r="F14" s="110" t="s">
        <v>962</v>
      </c>
    </row>
    <row r="15" customFormat="false" ht="15" hidden="false" customHeight="true" outlineLevel="0" collapsed="false">
      <c r="A15" s="108" t="n">
        <v>14</v>
      </c>
      <c r="B15" s="108" t="s">
        <v>514</v>
      </c>
      <c r="C15" s="108" t="n">
        <v>4</v>
      </c>
      <c r="D15" s="108" t="n">
        <v>5</v>
      </c>
      <c r="E15" s="112"/>
      <c r="F15" s="110" t="s">
        <v>963</v>
      </c>
    </row>
    <row r="16" customFormat="false" ht="15" hidden="false" customHeight="true" outlineLevel="0" collapsed="false">
      <c r="A16" s="113"/>
      <c r="B16" s="114" t="s">
        <v>964</v>
      </c>
      <c r="C16" s="113"/>
      <c r="D16" s="114" t="n">
        <f aca="false">SUM(D2:D15)</f>
        <v>103</v>
      </c>
      <c r="E16" s="115" t="n">
        <f aca="false">SUM(E2:E15)</f>
        <v>0</v>
      </c>
      <c r="F16" s="1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7" min="2" style="1" width="18"/>
  </cols>
  <sheetData>
    <row r="1" customFormat="false" ht="27.75" hidden="false" customHeight="true" outlineLevel="0" collapsed="false">
      <c r="A1" s="107" t="s">
        <v>492</v>
      </c>
      <c r="B1" s="107" t="s">
        <v>521</v>
      </c>
      <c r="C1" s="107" t="s">
        <v>522</v>
      </c>
      <c r="D1" s="107" t="s">
        <v>523</v>
      </c>
      <c r="E1" s="107" t="s">
        <v>524</v>
      </c>
      <c r="F1" s="107" t="s">
        <v>526</v>
      </c>
      <c r="G1" s="107" t="s">
        <v>965</v>
      </c>
    </row>
    <row r="2" customFormat="false" ht="15" hidden="false" customHeight="true" outlineLevel="0" collapsed="false">
      <c r="A2" s="116" t="s">
        <v>494</v>
      </c>
      <c r="B2" s="117" t="n">
        <v>7</v>
      </c>
      <c r="C2" s="117" t="n">
        <v>3</v>
      </c>
      <c r="D2" s="117" t="n">
        <v>5</v>
      </c>
      <c r="E2" s="117" t="n">
        <v>12</v>
      </c>
      <c r="F2" s="117" t="n">
        <v>5</v>
      </c>
      <c r="G2" s="118"/>
    </row>
    <row r="3" customFormat="false" ht="15" hidden="false" customHeight="true" outlineLevel="0" collapsed="false">
      <c r="A3" s="116" t="s">
        <v>496</v>
      </c>
      <c r="B3" s="117" t="n">
        <v>7</v>
      </c>
      <c r="C3" s="117" t="n">
        <v>3</v>
      </c>
      <c r="D3" s="117" t="n">
        <v>5</v>
      </c>
      <c r="E3" s="117" t="n">
        <v>12</v>
      </c>
      <c r="F3" s="117" t="n">
        <v>5</v>
      </c>
      <c r="G3" s="118"/>
    </row>
    <row r="4" customFormat="false" ht="15" hidden="false" customHeight="true" outlineLevel="0" collapsed="false">
      <c r="A4" s="116" t="s">
        <v>498</v>
      </c>
      <c r="B4" s="117" t="n">
        <v>7</v>
      </c>
      <c r="C4" s="117" t="n">
        <v>3</v>
      </c>
      <c r="D4" s="117" t="n">
        <v>5</v>
      </c>
      <c r="E4" s="117" t="n">
        <v>12</v>
      </c>
      <c r="F4" s="117" t="n">
        <v>5</v>
      </c>
      <c r="G4" s="118"/>
    </row>
    <row r="5" customFormat="false" ht="15" hidden="false" customHeight="true" outlineLevel="0" collapsed="false">
      <c r="A5" s="116" t="s">
        <v>500</v>
      </c>
      <c r="B5" s="117" t="n">
        <v>7</v>
      </c>
      <c r="C5" s="117" t="n">
        <v>5</v>
      </c>
      <c r="D5" s="117" t="n">
        <v>8</v>
      </c>
      <c r="E5" s="117" t="n">
        <v>15</v>
      </c>
      <c r="F5" s="117" t="n">
        <v>5</v>
      </c>
      <c r="G5" s="118"/>
    </row>
    <row r="6" customFormat="false" ht="15" hidden="false" customHeight="true" outlineLevel="0" collapsed="false">
      <c r="A6" s="116" t="s">
        <v>501</v>
      </c>
      <c r="B6" s="117" t="n">
        <v>7</v>
      </c>
      <c r="C6" s="117" t="n">
        <v>20</v>
      </c>
      <c r="D6" s="117" t="n">
        <v>8</v>
      </c>
      <c r="E6" s="117" t="n">
        <v>12</v>
      </c>
      <c r="F6" s="117" t="n">
        <v>5</v>
      </c>
      <c r="G6" s="118"/>
    </row>
    <row r="7" customFormat="false" ht="15" hidden="false" customHeight="true" outlineLevel="0" collapsed="false">
      <c r="A7" s="116" t="s">
        <v>503</v>
      </c>
      <c r="B7" s="117" t="n">
        <v>7</v>
      </c>
      <c r="C7" s="117" t="n">
        <v>8</v>
      </c>
      <c r="D7" s="117" t="n">
        <v>5</v>
      </c>
      <c r="E7" s="117" t="n">
        <v>3</v>
      </c>
      <c r="F7" s="117" t="n">
        <v>15</v>
      </c>
      <c r="G7" s="118"/>
    </row>
    <row r="8" customFormat="false" ht="15" hidden="false" customHeight="true" outlineLevel="0" collapsed="false">
      <c r="A8" s="116" t="s">
        <v>505</v>
      </c>
      <c r="B8" s="117" t="n">
        <v>7</v>
      </c>
      <c r="C8" s="117" t="n">
        <v>25</v>
      </c>
      <c r="D8" s="117" t="n">
        <v>8</v>
      </c>
      <c r="E8" s="117" t="n">
        <v>5</v>
      </c>
      <c r="F8" s="117" t="n">
        <v>5</v>
      </c>
      <c r="G8" s="118"/>
    </row>
    <row r="9" customFormat="false" ht="15" hidden="false" customHeight="true" outlineLevel="0" collapsed="false">
      <c r="A9" s="116" t="s">
        <v>506</v>
      </c>
      <c r="B9" s="117" t="n">
        <v>7</v>
      </c>
      <c r="C9" s="117" t="n">
        <v>5</v>
      </c>
      <c r="D9" s="117" t="n">
        <v>12</v>
      </c>
      <c r="E9" s="117" t="n">
        <v>3</v>
      </c>
      <c r="F9" s="117" t="n">
        <v>20</v>
      </c>
      <c r="G9" s="118"/>
    </row>
    <row r="10" customFormat="false" ht="15" hidden="false" customHeight="true" outlineLevel="0" collapsed="false">
      <c r="A10" s="116" t="s">
        <v>508</v>
      </c>
      <c r="B10" s="117" t="n">
        <v>7</v>
      </c>
      <c r="C10" s="117" t="n">
        <v>5</v>
      </c>
      <c r="D10" s="117" t="n">
        <v>20</v>
      </c>
      <c r="E10" s="117" t="n">
        <v>5</v>
      </c>
      <c r="F10" s="117" t="n">
        <v>5</v>
      </c>
      <c r="G10" s="118"/>
    </row>
    <row r="11" customFormat="false" ht="15" hidden="false" customHeight="true" outlineLevel="0" collapsed="false">
      <c r="A11" s="116" t="s">
        <v>509</v>
      </c>
      <c r="B11" s="117" t="n">
        <v>7</v>
      </c>
      <c r="C11" s="117" t="n">
        <v>8</v>
      </c>
      <c r="D11" s="117" t="n">
        <v>5</v>
      </c>
      <c r="E11" s="117" t="n">
        <v>5</v>
      </c>
      <c r="F11" s="117" t="n">
        <v>5</v>
      </c>
      <c r="G11" s="118"/>
    </row>
    <row r="12" customFormat="false" ht="15" hidden="false" customHeight="true" outlineLevel="0" collapsed="false">
      <c r="A12" s="116" t="s">
        <v>510</v>
      </c>
      <c r="B12" s="117" t="n">
        <v>7</v>
      </c>
      <c r="C12" s="117" t="n">
        <v>5</v>
      </c>
      <c r="D12" s="117" t="n">
        <v>5</v>
      </c>
      <c r="E12" s="117" t="n">
        <v>3</v>
      </c>
      <c r="F12" s="117" t="n">
        <v>5</v>
      </c>
      <c r="G12" s="118"/>
    </row>
    <row r="13" customFormat="false" ht="15" hidden="false" customHeight="true" outlineLevel="0" collapsed="false">
      <c r="A13" s="116" t="s">
        <v>511</v>
      </c>
      <c r="B13" s="117" t="n">
        <v>7</v>
      </c>
      <c r="C13" s="117" t="n">
        <v>5</v>
      </c>
      <c r="D13" s="117" t="n">
        <v>10</v>
      </c>
      <c r="E13" s="117" t="n">
        <v>5</v>
      </c>
      <c r="F13" s="117" t="n">
        <v>15</v>
      </c>
      <c r="G13" s="118"/>
    </row>
    <row r="14" customFormat="false" ht="15" hidden="false" customHeight="true" outlineLevel="0" collapsed="false">
      <c r="A14" s="116" t="s">
        <v>513</v>
      </c>
      <c r="B14" s="117" t="n">
        <v>8</v>
      </c>
      <c r="C14" s="117" t="n">
        <v>3</v>
      </c>
      <c r="D14" s="117" t="n">
        <v>2</v>
      </c>
      <c r="E14" s="117" t="n">
        <v>5</v>
      </c>
      <c r="F14" s="117" t="n">
        <v>3</v>
      </c>
      <c r="G14" s="118"/>
    </row>
    <row r="15" customFormat="false" ht="15" hidden="false" customHeight="true" outlineLevel="0" collapsed="false">
      <c r="A15" s="116" t="s">
        <v>514</v>
      </c>
      <c r="B15" s="117" t="n">
        <v>8</v>
      </c>
      <c r="C15" s="117" t="n">
        <v>2</v>
      </c>
      <c r="D15" s="117" t="n">
        <v>2</v>
      </c>
      <c r="E15" s="117" t="n">
        <v>3</v>
      </c>
      <c r="F15" s="117" t="n">
        <v>2</v>
      </c>
      <c r="G15" s="118"/>
    </row>
    <row r="16" customFormat="false" ht="15" hidden="false" customHeight="true" outlineLevel="0" collapsed="false">
      <c r="A16" s="119" t="s">
        <v>964</v>
      </c>
      <c r="B16" s="114" t="n">
        <f aca="false">SUM(B2:B15)</f>
        <v>100</v>
      </c>
      <c r="C16" s="114" t="n">
        <f aca="false">SUM(C2:C15)</f>
        <v>100</v>
      </c>
      <c r="D16" s="114" t="n">
        <f aca="false">SUM(D2:D15)</f>
        <v>100</v>
      </c>
      <c r="E16" s="114" t="n">
        <f aca="false">SUM(E2:E15)</f>
        <v>100</v>
      </c>
      <c r="F16" s="114" t="n">
        <f aca="false">SUM(F2:F15)</f>
        <v>100</v>
      </c>
      <c r="G16" s="114" t="n">
        <f aca="false">SUM(G2:G15)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48"/>
    <col collapsed="false" customWidth="true" hidden="false" outlineLevel="0" max="4" min="4" style="1" width="30"/>
    <col collapsed="false" customWidth="true" hidden="false" outlineLevel="0" max="5" min="5" style="1" width="14"/>
    <col collapsed="false" customWidth="true" hidden="false" outlineLevel="0" max="6" min="6" style="1" width="16"/>
  </cols>
  <sheetData>
    <row r="1" customFormat="false" ht="15" hidden="false" customHeight="true" outlineLevel="0" collapsed="false">
      <c r="A1" s="107" t="s">
        <v>966</v>
      </c>
      <c r="B1" s="107" t="s">
        <v>967</v>
      </c>
      <c r="C1" s="107" t="s">
        <v>968</v>
      </c>
      <c r="D1" s="107" t="s">
        <v>969</v>
      </c>
      <c r="E1" s="107" t="s">
        <v>970</v>
      </c>
      <c r="F1" s="107" t="s">
        <v>763</v>
      </c>
    </row>
    <row r="2" customFormat="false" ht="15" hidden="false" customHeight="true" outlineLevel="0" collapsed="false">
      <c r="A2" s="108" t="s">
        <v>971</v>
      </c>
      <c r="B2" s="108" t="s">
        <v>972</v>
      </c>
      <c r="C2" s="108" t="s">
        <v>973</v>
      </c>
      <c r="D2" s="108" t="s">
        <v>974</v>
      </c>
      <c r="E2" s="108" t="s">
        <v>975</v>
      </c>
      <c r="F2" s="108" t="s">
        <v>976</v>
      </c>
    </row>
    <row r="3" customFormat="false" ht="15" hidden="false" customHeight="true" outlineLevel="0" collapsed="false">
      <c r="A3" s="108" t="s">
        <v>971</v>
      </c>
      <c r="B3" s="108" t="s">
        <v>977</v>
      </c>
      <c r="C3" s="108" t="s">
        <v>978</v>
      </c>
      <c r="D3" s="108" t="s">
        <v>979</v>
      </c>
      <c r="E3" s="108" t="s">
        <v>975</v>
      </c>
      <c r="F3" s="108" t="s">
        <v>976</v>
      </c>
    </row>
    <row r="4" customFormat="false" ht="15" hidden="false" customHeight="true" outlineLevel="0" collapsed="false">
      <c r="A4" s="108" t="s">
        <v>971</v>
      </c>
      <c r="B4" s="108" t="s">
        <v>980</v>
      </c>
      <c r="C4" s="108" t="s">
        <v>981</v>
      </c>
      <c r="D4" s="108" t="s">
        <v>982</v>
      </c>
      <c r="E4" s="108" t="s">
        <v>975</v>
      </c>
      <c r="F4" s="108" t="s">
        <v>976</v>
      </c>
    </row>
    <row r="5" customFormat="false" ht="15" hidden="false" customHeight="true" outlineLevel="0" collapsed="false">
      <c r="A5" s="108" t="s">
        <v>983</v>
      </c>
      <c r="B5" s="108" t="s">
        <v>984</v>
      </c>
      <c r="C5" s="108" t="s">
        <v>985</v>
      </c>
      <c r="D5" s="108" t="s">
        <v>986</v>
      </c>
      <c r="E5" s="108" t="s">
        <v>987</v>
      </c>
      <c r="F5" s="108" t="s">
        <v>976</v>
      </c>
    </row>
    <row r="6" customFormat="false" ht="15" hidden="false" customHeight="true" outlineLevel="0" collapsed="false">
      <c r="A6" s="108" t="s">
        <v>983</v>
      </c>
      <c r="B6" s="108" t="s">
        <v>988</v>
      </c>
      <c r="C6" s="108" t="s">
        <v>989</v>
      </c>
      <c r="D6" s="108" t="s">
        <v>990</v>
      </c>
      <c r="E6" s="108" t="s">
        <v>987</v>
      </c>
      <c r="F6" s="108" t="s">
        <v>976</v>
      </c>
    </row>
    <row r="7" customFormat="false" ht="15" hidden="false" customHeight="true" outlineLevel="0" collapsed="false">
      <c r="A7" s="108" t="s">
        <v>983</v>
      </c>
      <c r="B7" s="108" t="s">
        <v>991</v>
      </c>
      <c r="C7" s="108" t="s">
        <v>992</v>
      </c>
      <c r="D7" s="108" t="s">
        <v>993</v>
      </c>
      <c r="E7" s="108" t="s">
        <v>987</v>
      </c>
      <c r="F7" s="108" t="s">
        <v>976</v>
      </c>
    </row>
    <row r="8" customFormat="false" ht="15" hidden="false" customHeight="true" outlineLevel="0" collapsed="false">
      <c r="A8" s="108" t="s">
        <v>983</v>
      </c>
      <c r="B8" s="108" t="s">
        <v>994</v>
      </c>
      <c r="C8" s="108" t="s">
        <v>995</v>
      </c>
      <c r="D8" s="108" t="s">
        <v>996</v>
      </c>
      <c r="E8" s="108" t="s">
        <v>987</v>
      </c>
      <c r="F8" s="108" t="s">
        <v>976</v>
      </c>
    </row>
    <row r="9" customFormat="false" ht="15" hidden="false" customHeight="true" outlineLevel="0" collapsed="false">
      <c r="A9" s="108" t="s">
        <v>983</v>
      </c>
      <c r="B9" s="108" t="s">
        <v>997</v>
      </c>
      <c r="C9" s="108" t="s">
        <v>998</v>
      </c>
      <c r="D9" s="108" t="s">
        <v>999</v>
      </c>
      <c r="E9" s="108" t="s">
        <v>1000</v>
      </c>
      <c r="F9" s="108" t="s">
        <v>976</v>
      </c>
    </row>
    <row r="10" customFormat="false" ht="15" hidden="false" customHeight="true" outlineLevel="0" collapsed="false">
      <c r="A10" s="108" t="s">
        <v>983</v>
      </c>
      <c r="B10" s="108" t="s">
        <v>1001</v>
      </c>
      <c r="C10" s="108" t="s">
        <v>1002</v>
      </c>
      <c r="D10" s="108" t="s">
        <v>1003</v>
      </c>
      <c r="E10" s="108" t="s">
        <v>1000</v>
      </c>
      <c r="F10" s="108" t="s">
        <v>976</v>
      </c>
    </row>
    <row r="11" customFormat="false" ht="15" hidden="false" customHeight="true" outlineLevel="0" collapsed="false">
      <c r="A11" s="108" t="s">
        <v>983</v>
      </c>
      <c r="B11" s="108" t="s">
        <v>1004</v>
      </c>
      <c r="C11" s="108" t="s">
        <v>1005</v>
      </c>
      <c r="D11" s="108" t="s">
        <v>1006</v>
      </c>
      <c r="E11" s="108" t="s">
        <v>1000</v>
      </c>
      <c r="F11" s="108" t="s">
        <v>976</v>
      </c>
    </row>
    <row r="12" customFormat="false" ht="15" hidden="false" customHeight="true" outlineLevel="0" collapsed="false">
      <c r="A12" s="108" t="s">
        <v>983</v>
      </c>
      <c r="B12" s="108" t="s">
        <v>1007</v>
      </c>
      <c r="C12" s="108" t="s">
        <v>1008</v>
      </c>
      <c r="D12" s="108" t="s">
        <v>1009</v>
      </c>
      <c r="E12" s="108" t="s">
        <v>1010</v>
      </c>
      <c r="F12" s="108" t="s">
        <v>976</v>
      </c>
    </row>
    <row r="13" customFormat="false" ht="15" hidden="false" customHeight="true" outlineLevel="0" collapsed="false">
      <c r="A13" s="108" t="s">
        <v>983</v>
      </c>
      <c r="B13" s="108" t="s">
        <v>1011</v>
      </c>
      <c r="C13" s="108" t="s">
        <v>1012</v>
      </c>
      <c r="D13" s="108" t="s">
        <v>1013</v>
      </c>
      <c r="E13" s="108" t="s">
        <v>1010</v>
      </c>
      <c r="F13" s="108" t="s">
        <v>976</v>
      </c>
    </row>
    <row r="14" customFormat="false" ht="15" hidden="false" customHeight="true" outlineLevel="0" collapsed="false">
      <c r="A14" s="108" t="s">
        <v>983</v>
      </c>
      <c r="B14" s="108" t="s">
        <v>1014</v>
      </c>
      <c r="C14" s="108" t="s">
        <v>1015</v>
      </c>
      <c r="D14" s="108" t="s">
        <v>1016</v>
      </c>
      <c r="E14" s="108" t="s">
        <v>1010</v>
      </c>
      <c r="F14" s="108" t="s">
        <v>976</v>
      </c>
    </row>
    <row r="15" customFormat="false" ht="15" hidden="false" customHeight="true" outlineLevel="0" collapsed="false">
      <c r="A15" s="108" t="s">
        <v>983</v>
      </c>
      <c r="B15" s="108" t="s">
        <v>1017</v>
      </c>
      <c r="C15" s="108" t="s">
        <v>1018</v>
      </c>
      <c r="D15" s="108" t="s">
        <v>1019</v>
      </c>
      <c r="E15" s="108" t="s">
        <v>1010</v>
      </c>
      <c r="F15" s="108" t="s">
        <v>976</v>
      </c>
    </row>
    <row r="16" customFormat="false" ht="15" hidden="false" customHeight="true" outlineLevel="0" collapsed="false">
      <c r="A16" s="108" t="s">
        <v>983</v>
      </c>
      <c r="B16" s="108" t="s">
        <v>1020</v>
      </c>
      <c r="C16" s="108" t="s">
        <v>1021</v>
      </c>
      <c r="D16" s="108" t="s">
        <v>1022</v>
      </c>
      <c r="E16" s="108" t="s">
        <v>1010</v>
      </c>
      <c r="F16" s="108" t="s">
        <v>976</v>
      </c>
    </row>
    <row r="17" customFormat="false" ht="15" hidden="false" customHeight="true" outlineLevel="0" collapsed="false">
      <c r="A17" s="108" t="s">
        <v>983</v>
      </c>
      <c r="B17" s="108" t="s">
        <v>1023</v>
      </c>
      <c r="C17" s="108" t="s">
        <v>1024</v>
      </c>
      <c r="D17" s="108" t="s">
        <v>1025</v>
      </c>
      <c r="E17" s="108" t="s">
        <v>1010</v>
      </c>
      <c r="F17" s="108" t="s">
        <v>976</v>
      </c>
    </row>
    <row r="18" customFormat="false" ht="15" hidden="false" customHeight="true" outlineLevel="0" collapsed="false">
      <c r="A18" s="108" t="s">
        <v>983</v>
      </c>
      <c r="B18" s="108" t="s">
        <v>1026</v>
      </c>
      <c r="C18" s="108" t="s">
        <v>1027</v>
      </c>
      <c r="D18" s="108" t="s">
        <v>1028</v>
      </c>
      <c r="E18" s="108" t="s">
        <v>1010</v>
      </c>
      <c r="F18" s="108" t="s">
        <v>976</v>
      </c>
    </row>
    <row r="19" customFormat="false" ht="15" hidden="false" customHeight="true" outlineLevel="0" collapsed="false">
      <c r="A19" s="108" t="s">
        <v>983</v>
      </c>
      <c r="B19" s="108" t="s">
        <v>1029</v>
      </c>
      <c r="C19" s="108" t="s">
        <v>1030</v>
      </c>
      <c r="D19" s="108" t="s">
        <v>1031</v>
      </c>
      <c r="E19" s="108" t="s">
        <v>1010</v>
      </c>
      <c r="F19" s="108" t="s">
        <v>976</v>
      </c>
    </row>
    <row r="20" customFormat="false" ht="15" hidden="false" customHeight="true" outlineLevel="0" collapsed="false">
      <c r="A20" s="108" t="s">
        <v>983</v>
      </c>
      <c r="B20" s="108" t="s">
        <v>1032</v>
      </c>
      <c r="C20" s="108" t="s">
        <v>1033</v>
      </c>
      <c r="D20" s="108" t="s">
        <v>1034</v>
      </c>
      <c r="E20" s="108" t="s">
        <v>1010</v>
      </c>
      <c r="F20" s="108" t="s">
        <v>976</v>
      </c>
    </row>
    <row r="21" customFormat="false" ht="15" hidden="false" customHeight="true" outlineLevel="0" collapsed="false">
      <c r="A21" s="108" t="s">
        <v>1035</v>
      </c>
      <c r="B21" s="108" t="s">
        <v>1036</v>
      </c>
      <c r="C21" s="108" t="s">
        <v>1037</v>
      </c>
      <c r="D21" s="108" t="s">
        <v>1038</v>
      </c>
      <c r="E21" s="108" t="s">
        <v>1039</v>
      </c>
      <c r="F21" s="108" t="s">
        <v>976</v>
      </c>
    </row>
    <row r="22" customFormat="false" ht="15" hidden="false" customHeight="true" outlineLevel="0" collapsed="false">
      <c r="A22" s="108" t="s">
        <v>1035</v>
      </c>
      <c r="B22" s="108" t="s">
        <v>1040</v>
      </c>
      <c r="C22" s="108" t="s">
        <v>1041</v>
      </c>
      <c r="D22" s="108" t="s">
        <v>1042</v>
      </c>
      <c r="E22" s="108" t="s">
        <v>1043</v>
      </c>
      <c r="F22" s="108" t="s">
        <v>976</v>
      </c>
    </row>
    <row r="23" customFormat="false" ht="15" hidden="false" customHeight="true" outlineLevel="0" collapsed="false">
      <c r="A23" s="108" t="s">
        <v>1035</v>
      </c>
      <c r="B23" s="108" t="s">
        <v>1044</v>
      </c>
      <c r="C23" s="108" t="s">
        <v>1045</v>
      </c>
      <c r="D23" s="108" t="s">
        <v>1046</v>
      </c>
      <c r="E23" s="108" t="s">
        <v>1047</v>
      </c>
      <c r="F23" s="108" t="s">
        <v>976</v>
      </c>
    </row>
    <row r="24" customFormat="false" ht="15" hidden="false" customHeight="true" outlineLevel="0" collapsed="false">
      <c r="A24" s="108" t="s">
        <v>1035</v>
      </c>
      <c r="B24" s="108" t="s">
        <v>1048</v>
      </c>
      <c r="C24" s="108" t="s">
        <v>1049</v>
      </c>
      <c r="D24" s="108" t="s">
        <v>1034</v>
      </c>
      <c r="E24" s="108" t="s">
        <v>1047</v>
      </c>
      <c r="F24" s="108" t="s">
        <v>976</v>
      </c>
    </row>
    <row r="25" customFormat="false" ht="15" hidden="false" customHeight="true" outlineLevel="0" collapsed="false">
      <c r="A25" s="108" t="s">
        <v>1050</v>
      </c>
      <c r="B25" s="108" t="s">
        <v>1051</v>
      </c>
      <c r="C25" s="108" t="s">
        <v>1052</v>
      </c>
      <c r="D25" s="108" t="s">
        <v>1053</v>
      </c>
      <c r="E25" s="108" t="s">
        <v>1054</v>
      </c>
      <c r="F25" s="108" t="s">
        <v>976</v>
      </c>
    </row>
    <row r="26" customFormat="false" ht="15" hidden="false" customHeight="true" outlineLevel="0" collapsed="false">
      <c r="A26" s="108" t="s">
        <v>1050</v>
      </c>
      <c r="B26" s="108" t="s">
        <v>1055</v>
      </c>
      <c r="C26" s="108" t="s">
        <v>1056</v>
      </c>
      <c r="D26" s="108" t="s">
        <v>1057</v>
      </c>
      <c r="E26" s="108" t="s">
        <v>1054</v>
      </c>
      <c r="F26" s="108" t="s">
        <v>976</v>
      </c>
    </row>
    <row r="27" customFormat="false" ht="15" hidden="false" customHeight="true" outlineLevel="0" collapsed="false">
      <c r="A27" s="108" t="s">
        <v>1050</v>
      </c>
      <c r="B27" s="108" t="s">
        <v>1058</v>
      </c>
      <c r="C27" s="108" t="s">
        <v>1059</v>
      </c>
      <c r="D27" s="108" t="s">
        <v>1060</v>
      </c>
      <c r="E27" s="108" t="s">
        <v>1054</v>
      </c>
      <c r="F27" s="108" t="s">
        <v>976</v>
      </c>
    </row>
    <row r="28" customFormat="false" ht="15" hidden="false" customHeight="true" outlineLevel="0" collapsed="false">
      <c r="A28" s="108" t="s">
        <v>1050</v>
      </c>
      <c r="B28" s="108" t="s">
        <v>1061</v>
      </c>
      <c r="C28" s="108" t="s">
        <v>1062</v>
      </c>
      <c r="D28" s="108" t="s">
        <v>1063</v>
      </c>
      <c r="E28" s="108" t="s">
        <v>1054</v>
      </c>
      <c r="F28" s="108" t="s">
        <v>976</v>
      </c>
    </row>
    <row r="29" customFormat="false" ht="15" hidden="false" customHeight="true" outlineLevel="0" collapsed="false">
      <c r="A29" s="108" t="s">
        <v>1064</v>
      </c>
      <c r="B29" s="108" t="s">
        <v>1065</v>
      </c>
      <c r="C29" s="108" t="s">
        <v>1066</v>
      </c>
      <c r="D29" s="108" t="s">
        <v>1067</v>
      </c>
      <c r="E29" s="108" t="s">
        <v>1068</v>
      </c>
      <c r="F29" s="108" t="s">
        <v>1069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2" min="2" style="1" width="12"/>
  </cols>
  <sheetData>
    <row r="1" customFormat="false" ht="15" hidden="false" customHeight="true" outlineLevel="0" collapsed="false">
      <c r="A1" s="120" t="s">
        <v>1070</v>
      </c>
    </row>
    <row r="2" customFormat="false" ht="15" hidden="false" customHeight="true" outlineLevel="0" collapsed="false">
      <c r="A2" s="121" t="s">
        <v>1071</v>
      </c>
      <c r="B2" s="121" t="n">
        <v>4</v>
      </c>
    </row>
    <row r="3" customFormat="false" ht="15" hidden="false" customHeight="true" outlineLevel="0" collapsed="false">
      <c r="A3" s="121" t="s">
        <v>1072</v>
      </c>
      <c r="B3" s="121" t="n">
        <v>42</v>
      </c>
    </row>
    <row r="4" customFormat="false" ht="15" hidden="false" customHeight="true" outlineLevel="0" collapsed="false">
      <c r="A4" s="121" t="s">
        <v>1073</v>
      </c>
      <c r="B4" s="121" t="n">
        <v>107</v>
      </c>
    </row>
    <row r="5" customFormat="false" ht="15" hidden="false" customHeight="true" outlineLevel="0" collapsed="false">
      <c r="A5" s="121" t="s">
        <v>1074</v>
      </c>
      <c r="B5" s="121" t="n">
        <v>60</v>
      </c>
    </row>
    <row r="6" customFormat="false" ht="15" hidden="false" customHeight="true" outlineLevel="0" collapsed="false">
      <c r="A6" s="121" t="s">
        <v>1075</v>
      </c>
      <c r="B6" s="121" t="n">
        <v>37</v>
      </c>
    </row>
    <row r="7" customFormat="false" ht="15" hidden="false" customHeight="true" outlineLevel="0" collapsed="false">
      <c r="A7" s="121" t="s">
        <v>1076</v>
      </c>
      <c r="B7" s="121" t="n">
        <v>10</v>
      </c>
    </row>
    <row r="8" customFormat="false" ht="15" hidden="false" customHeight="true" outlineLevel="0" collapsed="false">
      <c r="A8" s="121" t="s">
        <v>1077</v>
      </c>
      <c r="B8" s="121" t="n">
        <v>65</v>
      </c>
    </row>
    <row r="9" customFormat="false" ht="15" hidden="false" customHeight="true" outlineLevel="0" collapsed="false">
      <c r="A9" s="121" t="s">
        <v>1078</v>
      </c>
      <c r="B9" s="121" t="n">
        <v>42</v>
      </c>
    </row>
    <row r="10" customFormat="false" ht="15" hidden="false" customHeight="true" outlineLevel="0" collapsed="false">
      <c r="A10" s="121"/>
      <c r="B10" s="121"/>
    </row>
    <row r="11" customFormat="false" ht="15" hidden="false" customHeight="true" outlineLevel="0" collapsed="false">
      <c r="A11" s="120" t="s">
        <v>1079</v>
      </c>
    </row>
    <row r="12" customFormat="false" ht="15" hidden="false" customHeight="true" outlineLevel="0" collapsed="false">
      <c r="A12" s="121" t="s">
        <v>788</v>
      </c>
      <c r="B12" s="121" t="n">
        <v>34</v>
      </c>
    </row>
    <row r="13" customFormat="false" ht="15" hidden="false" customHeight="true" outlineLevel="0" collapsed="false">
      <c r="A13" s="121" t="s">
        <v>785</v>
      </c>
      <c r="B13" s="121" t="n">
        <v>26</v>
      </c>
    </row>
    <row r="14" customFormat="false" ht="15" hidden="false" customHeight="true" outlineLevel="0" collapsed="false">
      <c r="A14" s="121" t="s">
        <v>793</v>
      </c>
      <c r="B14" s="121" t="n">
        <v>43</v>
      </c>
    </row>
    <row r="15" customFormat="false" ht="15" hidden="false" customHeight="true" outlineLevel="0" collapsed="false">
      <c r="A15" s="121" t="s">
        <v>49</v>
      </c>
      <c r="B15" s="121" t="n">
        <v>4</v>
      </c>
    </row>
    <row r="16" customFormat="false" ht="15" hidden="false" customHeight="true" outlineLevel="0" collapsed="false">
      <c r="A16" s="121"/>
      <c r="B16" s="121"/>
    </row>
    <row r="17" customFormat="false" ht="15" hidden="false" customHeight="true" outlineLevel="0" collapsed="false">
      <c r="A17" s="121" t="s">
        <v>1080</v>
      </c>
      <c r="B17" s="121" t="n">
        <v>14</v>
      </c>
    </row>
    <row r="18" customFormat="false" ht="15" hidden="false" customHeight="true" outlineLevel="0" collapsed="false">
      <c r="A18" s="121" t="s">
        <v>1081</v>
      </c>
      <c r="B18" s="121" t="n">
        <v>6</v>
      </c>
    </row>
    <row r="20" customFormat="false" ht="15" hidden="false" customHeight="true" outlineLevel="0" collapsed="false">
      <c r="A20" s="122" t="s">
        <v>1082</v>
      </c>
    </row>
    <row r="21" customFormat="false" ht="15" hidden="false" customHeight="true" outlineLevel="0" collapsed="false">
      <c r="A21" s="1" t="s">
        <v>1083</v>
      </c>
      <c r="B21" s="1" t="n">
        <v>37</v>
      </c>
    </row>
    <row r="22" customFormat="false" ht="15" hidden="false" customHeight="true" outlineLevel="0" collapsed="false">
      <c r="A22" s="1" t="s">
        <v>1084</v>
      </c>
      <c r="B22" s="1" t="n">
        <v>42</v>
      </c>
    </row>
    <row r="23" customFormat="false" ht="15" hidden="false" customHeight="true" outlineLevel="0" collapsed="false">
      <c r="A23" s="1" t="s">
        <v>1085</v>
      </c>
      <c r="B23" s="1" t="s">
        <v>1086</v>
      </c>
    </row>
    <row r="25" customFormat="false" ht="15" hidden="false" customHeight="true" outlineLevel="0" collapsed="false">
      <c r="A25" s="123" t="s">
        <v>1087</v>
      </c>
      <c r="B25" s="46" t="s">
        <v>1088</v>
      </c>
    </row>
    <row r="26" customFormat="false" ht="15" hidden="false" customHeight="true" outlineLevel="0" collapsed="false">
      <c r="A26" s="123" t="s">
        <v>1089</v>
      </c>
      <c r="B26" s="46" t="n">
        <v>42</v>
      </c>
    </row>
    <row r="27" customFormat="false" ht="15" hidden="false" customHeight="true" outlineLevel="0" collapsed="false">
      <c r="A27" s="123" t="s">
        <v>1090</v>
      </c>
      <c r="B27" s="46" t="n">
        <v>28</v>
      </c>
    </row>
    <row r="28" customFormat="false" ht="15" hidden="false" customHeight="true" outlineLevel="0" collapsed="false">
      <c r="A28" s="123" t="s">
        <v>1091</v>
      </c>
      <c r="B28" s="46" t="s">
        <v>1092</v>
      </c>
    </row>
    <row r="29" customFormat="false" ht="15" hidden="false" customHeight="true" outlineLevel="0" collapsed="false">
      <c r="A29" s="123" t="s">
        <v>1093</v>
      </c>
      <c r="B29" s="46" t="s">
        <v>976</v>
      </c>
    </row>
    <row r="30" customFormat="false" ht="15" hidden="false" customHeight="true" outlineLevel="0" collapsed="false">
      <c r="A30" s="123" t="s">
        <v>1094</v>
      </c>
      <c r="B30" s="46" t="s">
        <v>1095</v>
      </c>
    </row>
    <row r="31" customFormat="false" ht="15" hidden="false" customHeight="true" outlineLevel="0" collapsed="false">
      <c r="A31" s="123" t="s">
        <v>1096</v>
      </c>
      <c r="B31" s="46" t="n">
        <v>6</v>
      </c>
    </row>
    <row r="33" customFormat="false" ht="15" hidden="false" customHeight="false" outlineLevel="0" collapsed="false">
      <c r="A33" s="124" t="s">
        <v>1097</v>
      </c>
    </row>
    <row r="34" customFormat="false" ht="15" hidden="false" customHeight="false" outlineLevel="0" collapsed="false">
      <c r="A34" s="125" t="s">
        <v>1098</v>
      </c>
      <c r="B34" s="125" t="n">
        <v>4</v>
      </c>
    </row>
    <row r="35" customFormat="false" ht="15" hidden="false" customHeight="false" outlineLevel="0" collapsed="false">
      <c r="A35" s="125" t="s">
        <v>1099</v>
      </c>
      <c r="B35" s="125" t="s">
        <v>1092</v>
      </c>
    </row>
    <row r="36" customFormat="false" ht="15" hidden="false" customHeight="false" outlineLevel="0" collapsed="false">
      <c r="A36" s="125" t="s">
        <v>1100</v>
      </c>
      <c r="B36" s="125" t="n">
        <v>4</v>
      </c>
    </row>
    <row r="37" customFormat="false" ht="15" hidden="false" customHeight="false" outlineLevel="0" collapsed="false">
      <c r="A37" s="125" t="s">
        <v>1101</v>
      </c>
      <c r="B37" s="125" t="s">
        <v>1102</v>
      </c>
    </row>
    <row r="38" customFormat="false" ht="15" hidden="false" customHeight="false" outlineLevel="0" collapsed="false">
      <c r="A38" s="125" t="s">
        <v>1097</v>
      </c>
      <c r="B38" s="125" t="s">
        <v>976</v>
      </c>
    </row>
    <row r="39" customFormat="false" ht="15" hidden="false" customHeight="false" outlineLevel="0" collapsed="false">
      <c r="A39" s="124" t="s">
        <v>1103</v>
      </c>
      <c r="B39" s="126" t="s">
        <v>1104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2"/>
    <col collapsed="false" customWidth="true" hidden="false" outlineLevel="0" max="7" min="5" style="1" width="14"/>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2" min="12" style="1" width="14"/>
    <col collapsed="false" customWidth="true" hidden="false" outlineLevel="0" max="15" min="13" style="1" width="12"/>
    <col collapsed="false" customWidth="true" hidden="false" outlineLevel="0" max="16" min="16" style="1" width="30"/>
    <col collapsed="false" customWidth="true" hidden="false" outlineLevel="0" max="18" min="17" style="1" width="14"/>
    <col collapsed="false" customWidth="true" hidden="false" outlineLevel="0" max="19" min="19" style="1" width="12"/>
    <col collapsed="false" customWidth="true" hidden="false" outlineLevel="0" max="20" min="20" style="1" width="14"/>
    <col collapsed="false" customWidth="true" hidden="false" outlineLevel="0" max="22" min="21" style="1" width="12"/>
    <col collapsed="false" customWidth="true" hidden="false" outlineLevel="0" max="23" min="23" style="1" width="14"/>
    <col collapsed="false" customWidth="true" hidden="false" outlineLevel="0" max="24" min="24" style="1" width="12"/>
    <col collapsed="false" customWidth="true" hidden="false" outlineLevel="0" max="25" min="25" style="1" width="30"/>
    <col collapsed="false" customWidth="true" hidden="false" outlineLevel="0" max="28" min="26" style="1" width="12"/>
    <col collapsed="false" customWidth="true" hidden="false" outlineLevel="0" max="30" min="29" style="1" width="14"/>
    <col collapsed="false" customWidth="true" hidden="false" outlineLevel="0" max="33" min="31" style="1" width="12"/>
    <col collapsed="false" customWidth="true" hidden="false" outlineLevel="0" max="34" min="34" style="1" width="30"/>
    <col collapsed="false" customWidth="true" hidden="false" outlineLevel="0" max="38" min="35" style="1" width="12"/>
  </cols>
  <sheetData>
    <row r="1" customFormat="false" ht="17.25" hidden="false" customHeight="true" outlineLevel="0" collapsed="false">
      <c r="A1" s="127" t="s">
        <v>1105</v>
      </c>
      <c r="B1" s="127"/>
      <c r="C1" s="127"/>
      <c r="D1" s="127"/>
      <c r="E1" s="127"/>
    </row>
    <row r="2" customFormat="false" ht="15" hidden="false" customHeight="true" outlineLevel="0" collapsed="false">
      <c r="B2" s="128" t="s">
        <v>1106</v>
      </c>
      <c r="C2" s="128" t="s">
        <v>1106</v>
      </c>
      <c r="D2" s="128" t="s">
        <v>1106</v>
      </c>
      <c r="E2" s="128" t="s">
        <v>1107</v>
      </c>
      <c r="F2" s="128" t="s">
        <v>1107</v>
      </c>
      <c r="G2" s="128" t="s">
        <v>1107</v>
      </c>
      <c r="H2" s="128" t="s">
        <v>1107</v>
      </c>
      <c r="I2" s="128" t="s">
        <v>1107</v>
      </c>
      <c r="J2" s="128" t="s">
        <v>1107</v>
      </c>
      <c r="K2" s="128" t="s">
        <v>1108</v>
      </c>
      <c r="L2" s="128" t="s">
        <v>1108</v>
      </c>
      <c r="M2" s="128" t="s">
        <v>1108</v>
      </c>
      <c r="N2" s="128" t="s">
        <v>1108</v>
      </c>
      <c r="O2" s="128" t="s">
        <v>1108</v>
      </c>
      <c r="P2" s="128" t="s">
        <v>1108</v>
      </c>
      <c r="Q2" s="128" t="s">
        <v>1109</v>
      </c>
      <c r="R2" s="128" t="s">
        <v>1109</v>
      </c>
      <c r="S2" s="128" t="s">
        <v>1109</v>
      </c>
      <c r="T2" s="128" t="s">
        <v>1109</v>
      </c>
      <c r="U2" s="128" t="s">
        <v>1109</v>
      </c>
      <c r="V2" s="128" t="s">
        <v>1109</v>
      </c>
      <c r="W2" s="128" t="s">
        <v>1109</v>
      </c>
      <c r="X2" s="128" t="s">
        <v>1109</v>
      </c>
      <c r="Y2" s="128" t="s">
        <v>1110</v>
      </c>
      <c r="Z2" s="128" t="s">
        <v>1110</v>
      </c>
      <c r="AA2" s="128" t="s">
        <v>1111</v>
      </c>
      <c r="AB2" s="128" t="s">
        <v>1111</v>
      </c>
      <c r="AC2" s="128" t="s">
        <v>1112</v>
      </c>
      <c r="AD2" s="128" t="s">
        <v>1112</v>
      </c>
      <c r="AE2" s="128" t="s">
        <v>1112</v>
      </c>
      <c r="AF2" s="128" t="s">
        <v>1112</v>
      </c>
      <c r="AG2" s="128" t="s">
        <v>1112</v>
      </c>
      <c r="AH2" s="128" t="s">
        <v>1113</v>
      </c>
      <c r="AI2" s="128" t="s">
        <v>1114</v>
      </c>
      <c r="AJ2" s="128" t="s">
        <v>1114</v>
      </c>
      <c r="AK2" s="128" t="s">
        <v>1114</v>
      </c>
      <c r="AL2" s="128" t="s">
        <v>1114</v>
      </c>
    </row>
    <row r="3" customFormat="false" ht="45" hidden="false" customHeight="true" outlineLevel="0" collapsed="false">
      <c r="A3" s="129" t="s">
        <v>760</v>
      </c>
      <c r="B3" s="130" t="s">
        <v>1115</v>
      </c>
      <c r="C3" s="130" t="s">
        <v>1116</v>
      </c>
      <c r="D3" s="130" t="s">
        <v>1117</v>
      </c>
      <c r="E3" s="130" t="s">
        <v>1118</v>
      </c>
      <c r="F3" s="130" t="s">
        <v>1119</v>
      </c>
      <c r="G3" s="130" t="s">
        <v>1120</v>
      </c>
      <c r="H3" s="130" t="s">
        <v>1121</v>
      </c>
      <c r="I3" s="130" t="s">
        <v>1122</v>
      </c>
      <c r="J3" s="130" t="s">
        <v>1123</v>
      </c>
      <c r="K3" s="130" t="s">
        <v>1124</v>
      </c>
      <c r="L3" s="130" t="s">
        <v>1125</v>
      </c>
      <c r="M3" s="130" t="s">
        <v>1126</v>
      </c>
      <c r="N3" s="130" t="s">
        <v>1127</v>
      </c>
      <c r="O3" s="130" t="s">
        <v>1128</v>
      </c>
      <c r="P3" s="130" t="s">
        <v>1129</v>
      </c>
      <c r="Q3" s="130" t="s">
        <v>1130</v>
      </c>
      <c r="R3" s="130" t="s">
        <v>1131</v>
      </c>
      <c r="S3" s="130" t="s">
        <v>1132</v>
      </c>
      <c r="T3" s="130" t="s">
        <v>1133</v>
      </c>
      <c r="U3" s="130" t="s">
        <v>1134</v>
      </c>
      <c r="V3" s="130" t="s">
        <v>1135</v>
      </c>
      <c r="W3" s="130" t="s">
        <v>1136</v>
      </c>
      <c r="X3" s="130" t="s">
        <v>1137</v>
      </c>
      <c r="Y3" s="130" t="s">
        <v>1138</v>
      </c>
      <c r="Z3" s="130" t="s">
        <v>1139</v>
      </c>
      <c r="AA3" s="130" t="s">
        <v>1140</v>
      </c>
      <c r="AB3" s="130" t="s">
        <v>1141</v>
      </c>
      <c r="AC3" s="130" t="s">
        <v>1142</v>
      </c>
      <c r="AD3" s="130" t="s">
        <v>1143</v>
      </c>
      <c r="AE3" s="130" t="s">
        <v>1144</v>
      </c>
      <c r="AF3" s="130" t="s">
        <v>1145</v>
      </c>
      <c r="AG3" s="130" t="s">
        <v>1146</v>
      </c>
      <c r="AH3" s="130" t="s">
        <v>1147</v>
      </c>
      <c r="AI3" s="130" t="s">
        <v>1148</v>
      </c>
      <c r="AJ3" s="130" t="s">
        <v>1149</v>
      </c>
      <c r="AK3" s="130" t="s">
        <v>1150</v>
      </c>
      <c r="AL3" s="130" t="s">
        <v>1151</v>
      </c>
    </row>
    <row r="4" customFormat="false" ht="15" hidden="false" customHeight="true" outlineLevel="0" collapsed="false">
      <c r="A4" s="131" t="s">
        <v>1152</v>
      </c>
      <c r="B4" s="132" t="s">
        <v>19</v>
      </c>
      <c r="C4" s="132" t="s">
        <v>19</v>
      </c>
      <c r="D4" s="132" t="s">
        <v>19</v>
      </c>
      <c r="E4" s="132" t="s">
        <v>19</v>
      </c>
      <c r="F4" s="132" t="s">
        <v>19</v>
      </c>
      <c r="G4" s="132" t="s">
        <v>19</v>
      </c>
      <c r="H4" s="132" t="s">
        <v>12</v>
      </c>
      <c r="I4" s="132" t="s">
        <v>12</v>
      </c>
      <c r="J4" s="132" t="s">
        <v>19</v>
      </c>
      <c r="K4" s="132" t="s">
        <v>12</v>
      </c>
      <c r="L4" s="132" t="s">
        <v>12</v>
      </c>
      <c r="M4" s="132" t="s">
        <v>19</v>
      </c>
      <c r="N4" s="132" t="s">
        <v>19</v>
      </c>
      <c r="O4" s="132" t="s">
        <v>19</v>
      </c>
      <c r="P4" s="132" t="s">
        <v>12</v>
      </c>
      <c r="Q4" s="132" t="s">
        <v>19</v>
      </c>
      <c r="R4" s="132" t="s">
        <v>19</v>
      </c>
      <c r="S4" s="132" t="s">
        <v>19</v>
      </c>
      <c r="T4" s="132" t="s">
        <v>12</v>
      </c>
      <c r="U4" s="132" t="s">
        <v>19</v>
      </c>
      <c r="V4" s="132" t="s">
        <v>19</v>
      </c>
      <c r="W4" s="132" t="s">
        <v>19</v>
      </c>
      <c r="X4" s="132" t="s">
        <v>19</v>
      </c>
      <c r="Y4" s="132" t="s">
        <v>12</v>
      </c>
      <c r="Z4" s="132" t="s">
        <v>12</v>
      </c>
      <c r="AA4" s="132" t="s">
        <v>19</v>
      </c>
      <c r="AB4" s="132" t="s">
        <v>19</v>
      </c>
      <c r="AC4" s="132" t="s">
        <v>19</v>
      </c>
      <c r="AD4" s="132" t="s">
        <v>19</v>
      </c>
      <c r="AE4" s="132" t="s">
        <v>19</v>
      </c>
      <c r="AF4" s="132" t="s">
        <v>19</v>
      </c>
      <c r="AG4" s="132" t="s">
        <v>19</v>
      </c>
      <c r="AH4" s="132" t="s">
        <v>12</v>
      </c>
      <c r="AI4" s="132" t="s">
        <v>19</v>
      </c>
      <c r="AJ4" s="132" t="s">
        <v>19</v>
      </c>
      <c r="AK4" s="132" t="s">
        <v>19</v>
      </c>
      <c r="AL4" s="132" t="s">
        <v>19</v>
      </c>
    </row>
    <row r="5" customFormat="false" ht="49.5" hidden="false" customHeight="true" outlineLevel="0" collapsed="false">
      <c r="A5" s="133" t="s">
        <v>588</v>
      </c>
      <c r="B5" s="134" t="n">
        <v>5</v>
      </c>
      <c r="C5" s="135" t="s">
        <v>1153</v>
      </c>
      <c r="D5" s="134" t="n">
        <v>4</v>
      </c>
      <c r="E5" s="134" t="n">
        <v>380</v>
      </c>
      <c r="F5" s="134" t="n">
        <v>450</v>
      </c>
      <c r="G5" s="134" t="n">
        <v>600</v>
      </c>
      <c r="H5" s="135" t="s">
        <v>1154</v>
      </c>
      <c r="I5" s="135" t="s">
        <v>1155</v>
      </c>
      <c r="J5" s="134" t="n">
        <v>3</v>
      </c>
      <c r="K5" s="135" t="s">
        <v>1156</v>
      </c>
      <c r="L5" s="134" t="s">
        <v>1157</v>
      </c>
      <c r="M5" s="134" t="n">
        <v>8</v>
      </c>
      <c r="N5" s="134" t="n">
        <v>2</v>
      </c>
      <c r="O5" s="134" t="n">
        <v>4</v>
      </c>
      <c r="P5" s="135" t="s">
        <v>1158</v>
      </c>
      <c r="Q5" s="134" t="n">
        <v>60</v>
      </c>
      <c r="R5" s="134" t="n">
        <v>52</v>
      </c>
      <c r="S5" s="134" t="n">
        <v>3</v>
      </c>
      <c r="T5" s="134" t="n">
        <v>4</v>
      </c>
      <c r="U5" s="134" t="n">
        <v>5</v>
      </c>
      <c r="V5" s="134" t="n">
        <v>3</v>
      </c>
      <c r="W5" s="134" t="n">
        <v>50</v>
      </c>
      <c r="X5" s="134" t="n">
        <v>7</v>
      </c>
      <c r="Y5" s="135" t="s">
        <v>1159</v>
      </c>
      <c r="Z5" s="134" t="n">
        <v>2</v>
      </c>
      <c r="AA5" s="134" t="n">
        <v>8</v>
      </c>
      <c r="AB5" s="134" t="n">
        <v>9</v>
      </c>
      <c r="AC5" s="134" t="n">
        <v>70</v>
      </c>
      <c r="AD5" s="134" t="n">
        <v>65</v>
      </c>
      <c r="AE5" s="134" t="n">
        <v>7</v>
      </c>
      <c r="AF5" s="134" t="n">
        <v>8</v>
      </c>
      <c r="AG5" s="134" t="n">
        <v>9</v>
      </c>
      <c r="AH5" s="135" t="s">
        <v>1160</v>
      </c>
      <c r="AI5" s="134" t="n">
        <v>4</v>
      </c>
      <c r="AJ5" s="134" t="n">
        <v>3</v>
      </c>
      <c r="AK5" s="134" t="n">
        <v>3</v>
      </c>
      <c r="AL5" s="134" t="n">
        <v>3</v>
      </c>
    </row>
    <row r="6" customFormat="false" ht="49.5" hidden="false" customHeight="true" outlineLevel="0" collapsed="false">
      <c r="A6" s="133" t="s">
        <v>575</v>
      </c>
      <c r="B6" s="134" t="n">
        <v>5</v>
      </c>
      <c r="C6" s="135" t="s">
        <v>1161</v>
      </c>
      <c r="D6" s="134" t="n">
        <v>2</v>
      </c>
      <c r="E6" s="134" t="n">
        <v>500</v>
      </c>
      <c r="F6" s="134" t="n">
        <v>620</v>
      </c>
      <c r="G6" s="134" t="n">
        <v>900</v>
      </c>
      <c r="H6" s="135" t="s">
        <v>1162</v>
      </c>
      <c r="I6" s="135" t="s">
        <v>1163</v>
      </c>
      <c r="J6" s="134" t="n">
        <v>3</v>
      </c>
      <c r="K6" s="135" t="s">
        <v>1164</v>
      </c>
      <c r="L6" s="134" t="s">
        <v>1165</v>
      </c>
      <c r="M6" s="134" t="n">
        <v>9</v>
      </c>
      <c r="N6" s="134" t="n">
        <v>3</v>
      </c>
      <c r="O6" s="134" t="n">
        <v>5</v>
      </c>
      <c r="P6" s="135" t="s">
        <v>1166</v>
      </c>
      <c r="Q6" s="134" t="n">
        <v>55</v>
      </c>
      <c r="R6" s="134" t="n">
        <v>42</v>
      </c>
      <c r="S6" s="134" t="n">
        <v>4</v>
      </c>
      <c r="T6" s="134" t="n">
        <v>5</v>
      </c>
      <c r="U6" s="134" t="n">
        <v>5</v>
      </c>
      <c r="V6" s="134" t="n">
        <v>4</v>
      </c>
      <c r="W6" s="134" t="n">
        <v>45</v>
      </c>
      <c r="X6" s="134" t="n">
        <v>7</v>
      </c>
      <c r="Y6" s="135" t="s">
        <v>1167</v>
      </c>
      <c r="Z6" s="134" t="n">
        <v>2</v>
      </c>
      <c r="AA6" s="134" t="n">
        <v>9</v>
      </c>
      <c r="AB6" s="134" t="n">
        <v>10</v>
      </c>
      <c r="AC6" s="134" t="n">
        <v>78</v>
      </c>
      <c r="AD6" s="134" t="n">
        <v>75</v>
      </c>
      <c r="AE6" s="134" t="n">
        <v>7</v>
      </c>
      <c r="AF6" s="134" t="n">
        <v>7</v>
      </c>
      <c r="AG6" s="134" t="n">
        <v>8</v>
      </c>
      <c r="AH6" s="135" t="s">
        <v>1168</v>
      </c>
      <c r="AI6" s="134" t="n">
        <v>3</v>
      </c>
      <c r="AJ6" s="134" t="n">
        <v>5</v>
      </c>
      <c r="AK6" s="134" t="n">
        <v>3</v>
      </c>
      <c r="AL6" s="134" t="n">
        <v>2</v>
      </c>
    </row>
    <row r="7" customFormat="false" ht="49.5" hidden="false" customHeight="true" outlineLevel="0" collapsed="false">
      <c r="A7" s="133" t="s">
        <v>583</v>
      </c>
      <c r="B7" s="134" t="n">
        <v>7</v>
      </c>
      <c r="C7" s="135" t="s">
        <v>1169</v>
      </c>
      <c r="D7" s="134" t="n">
        <v>1</v>
      </c>
      <c r="E7" s="134" t="n">
        <v>600</v>
      </c>
      <c r="F7" s="134" t="n">
        <v>780</v>
      </c>
      <c r="G7" s="134" t="n">
        <v>1200</v>
      </c>
      <c r="H7" s="135" t="s">
        <v>1170</v>
      </c>
      <c r="I7" s="135" t="s">
        <v>1171</v>
      </c>
      <c r="J7" s="134" t="n">
        <v>2</v>
      </c>
      <c r="K7" s="135" t="s">
        <v>1172</v>
      </c>
      <c r="L7" s="134" t="s">
        <v>1173</v>
      </c>
      <c r="M7" s="134" t="n">
        <v>9</v>
      </c>
      <c r="N7" s="134" t="n">
        <v>1</v>
      </c>
      <c r="O7" s="134" t="n">
        <v>3</v>
      </c>
      <c r="P7" s="135" t="s">
        <v>1174</v>
      </c>
      <c r="Q7" s="134" t="n">
        <v>65</v>
      </c>
      <c r="R7" s="134" t="n">
        <v>57</v>
      </c>
      <c r="S7" s="134" t="n">
        <v>2</v>
      </c>
      <c r="T7" s="134" t="n">
        <v>3</v>
      </c>
      <c r="U7" s="134" t="n">
        <v>4</v>
      </c>
      <c r="V7" s="134" t="n">
        <v>2</v>
      </c>
      <c r="W7" s="134" t="n">
        <v>80</v>
      </c>
      <c r="X7" s="134" t="n">
        <v>5</v>
      </c>
      <c r="Y7" s="135" t="s">
        <v>1175</v>
      </c>
      <c r="Z7" s="134" t="n">
        <v>2</v>
      </c>
      <c r="AA7" s="134" t="n">
        <v>9</v>
      </c>
      <c r="AB7" s="134" t="n">
        <v>10</v>
      </c>
      <c r="AC7" s="134" t="n">
        <v>75</v>
      </c>
      <c r="AD7" s="134" t="n">
        <v>70</v>
      </c>
      <c r="AE7" s="134" t="n">
        <v>10</v>
      </c>
      <c r="AF7" s="134" t="n">
        <v>8</v>
      </c>
      <c r="AG7" s="134" t="n">
        <v>10</v>
      </c>
      <c r="AH7" s="135" t="s">
        <v>1176</v>
      </c>
      <c r="AI7" s="134" t="n">
        <v>3</v>
      </c>
      <c r="AJ7" s="134" t="n">
        <v>2</v>
      </c>
      <c r="AK7" s="134" t="n">
        <v>1</v>
      </c>
      <c r="AL7" s="134" t="n">
        <v>2</v>
      </c>
    </row>
    <row r="8" customFormat="false" ht="49.5" hidden="false" customHeight="true" outlineLevel="0" collapsed="false">
      <c r="A8" s="133" t="s">
        <v>680</v>
      </c>
      <c r="B8" s="135" t="s">
        <v>1177</v>
      </c>
      <c r="C8" s="135" t="s">
        <v>1178</v>
      </c>
      <c r="D8" s="134" t="n">
        <v>2</v>
      </c>
      <c r="E8" s="134" t="n">
        <v>500</v>
      </c>
      <c r="F8" s="134" t="n">
        <v>650</v>
      </c>
      <c r="G8" s="134" t="n">
        <v>900</v>
      </c>
      <c r="H8" s="135" t="s">
        <v>1179</v>
      </c>
      <c r="I8" s="135" t="s">
        <v>1180</v>
      </c>
      <c r="J8" s="134" t="n">
        <v>2</v>
      </c>
      <c r="K8" s="135" t="s">
        <v>1181</v>
      </c>
      <c r="L8" s="134" t="s">
        <v>1182</v>
      </c>
      <c r="M8" s="134" t="n">
        <v>9</v>
      </c>
      <c r="N8" s="134" t="n">
        <v>1</v>
      </c>
      <c r="O8" s="134" t="n">
        <v>3</v>
      </c>
      <c r="P8" s="135" t="s">
        <v>1183</v>
      </c>
      <c r="Q8" s="134" t="n">
        <v>65</v>
      </c>
      <c r="R8" s="134" t="n">
        <v>55</v>
      </c>
      <c r="S8" s="134" t="n">
        <v>2</v>
      </c>
      <c r="T8" s="134" t="n">
        <v>3</v>
      </c>
      <c r="U8" s="134" t="n">
        <v>4</v>
      </c>
      <c r="V8" s="134" t="n">
        <v>2</v>
      </c>
      <c r="W8" s="134" t="n">
        <v>90</v>
      </c>
      <c r="X8" s="134" t="n">
        <v>4</v>
      </c>
      <c r="Y8" s="135" t="s">
        <v>1184</v>
      </c>
      <c r="Z8" s="134" t="n">
        <v>1</v>
      </c>
      <c r="AA8" s="134" t="n">
        <v>8</v>
      </c>
      <c r="AB8" s="134" t="n">
        <v>10</v>
      </c>
      <c r="AC8" s="134" t="n">
        <v>72</v>
      </c>
      <c r="AD8" s="134" t="n">
        <v>68</v>
      </c>
      <c r="AE8" s="134" t="n">
        <v>9</v>
      </c>
      <c r="AF8" s="134" t="n">
        <v>6</v>
      </c>
      <c r="AG8" s="134" t="n">
        <v>10</v>
      </c>
      <c r="AH8" s="135" t="s">
        <v>1185</v>
      </c>
      <c r="AI8" s="134" t="n">
        <v>3</v>
      </c>
      <c r="AJ8" s="134" t="n">
        <v>2</v>
      </c>
      <c r="AK8" s="134" t="n">
        <v>1</v>
      </c>
      <c r="AL8" s="134" t="n">
        <v>2</v>
      </c>
    </row>
    <row r="9" customFormat="false" ht="49.5" hidden="false" customHeight="true" outlineLevel="0" collapsed="false">
      <c r="A9" s="133" t="s">
        <v>587</v>
      </c>
      <c r="B9" s="135" t="s">
        <v>1186</v>
      </c>
      <c r="C9" s="135" t="s">
        <v>1187</v>
      </c>
      <c r="D9" s="134" t="n">
        <v>3</v>
      </c>
      <c r="E9" s="134" t="n">
        <v>420</v>
      </c>
      <c r="F9" s="134" t="n">
        <v>530</v>
      </c>
      <c r="G9" s="134" t="n">
        <v>700</v>
      </c>
      <c r="H9" s="135" t="s">
        <v>1188</v>
      </c>
      <c r="I9" s="135" t="s">
        <v>1189</v>
      </c>
      <c r="J9" s="134" t="n">
        <v>3</v>
      </c>
      <c r="K9" s="135" t="s">
        <v>1190</v>
      </c>
      <c r="L9" s="134" t="s">
        <v>1157</v>
      </c>
      <c r="M9" s="134" t="n">
        <v>8</v>
      </c>
      <c r="N9" s="134" t="n">
        <v>2</v>
      </c>
      <c r="O9" s="134" t="n">
        <v>4</v>
      </c>
      <c r="P9" s="135" t="s">
        <v>1191</v>
      </c>
      <c r="Q9" s="134" t="n">
        <v>58</v>
      </c>
      <c r="R9" s="134" t="n">
        <v>48</v>
      </c>
      <c r="S9" s="134" t="n">
        <v>3</v>
      </c>
      <c r="T9" s="134" t="n">
        <v>4</v>
      </c>
      <c r="U9" s="134" t="n">
        <v>5</v>
      </c>
      <c r="V9" s="134" t="n">
        <v>3</v>
      </c>
      <c r="W9" s="134" t="n">
        <v>55</v>
      </c>
      <c r="X9" s="134" t="n">
        <v>6</v>
      </c>
      <c r="Y9" s="135" t="s">
        <v>1192</v>
      </c>
      <c r="Z9" s="134" t="n">
        <v>2</v>
      </c>
      <c r="AA9" s="134" t="n">
        <v>8</v>
      </c>
      <c r="AB9" s="134" t="n">
        <v>9</v>
      </c>
      <c r="AC9" s="134" t="n">
        <v>73</v>
      </c>
      <c r="AD9" s="134" t="n">
        <v>68</v>
      </c>
      <c r="AE9" s="134" t="n">
        <v>8</v>
      </c>
      <c r="AF9" s="134" t="n">
        <v>8</v>
      </c>
      <c r="AG9" s="134" t="n">
        <v>9</v>
      </c>
      <c r="AH9" s="135" t="s">
        <v>1193</v>
      </c>
      <c r="AI9" s="134" t="n">
        <v>4</v>
      </c>
      <c r="AJ9" s="134" t="n">
        <v>3</v>
      </c>
      <c r="AK9" s="134" t="n">
        <v>2</v>
      </c>
      <c r="AL9" s="134" t="n">
        <v>3</v>
      </c>
    </row>
    <row r="10" customFormat="false" ht="49.5" hidden="false" customHeight="true" outlineLevel="0" collapsed="false">
      <c r="A10" s="133" t="s">
        <v>672</v>
      </c>
      <c r="B10" s="135" t="s">
        <v>1194</v>
      </c>
      <c r="C10" s="135" t="s">
        <v>1195</v>
      </c>
      <c r="D10" s="134" t="n">
        <v>1</v>
      </c>
      <c r="E10" s="134" t="n">
        <v>400</v>
      </c>
      <c r="F10" s="134" t="n">
        <v>500</v>
      </c>
      <c r="G10" s="134" t="n">
        <v>1000</v>
      </c>
      <c r="H10" s="135" t="s">
        <v>1196</v>
      </c>
      <c r="I10" s="135" t="s">
        <v>1197</v>
      </c>
      <c r="J10" s="134" t="n">
        <v>6</v>
      </c>
      <c r="K10" s="135" t="s">
        <v>1198</v>
      </c>
      <c r="L10" s="134" t="s">
        <v>1165</v>
      </c>
      <c r="M10" s="134" t="n">
        <v>8</v>
      </c>
      <c r="N10" s="134" t="n">
        <v>5</v>
      </c>
      <c r="O10" s="134" t="n">
        <v>5</v>
      </c>
      <c r="P10" s="135" t="s">
        <v>1199</v>
      </c>
      <c r="Q10" s="134" t="n">
        <v>50</v>
      </c>
      <c r="R10" s="134" t="n">
        <v>35</v>
      </c>
      <c r="S10" s="134" t="n">
        <v>7</v>
      </c>
      <c r="T10" s="134" t="n">
        <v>5</v>
      </c>
      <c r="U10" s="134" t="n">
        <v>7</v>
      </c>
      <c r="V10" s="134" t="n">
        <v>4</v>
      </c>
      <c r="W10" s="134" t="n">
        <v>40</v>
      </c>
      <c r="X10" s="134" t="n">
        <v>6</v>
      </c>
      <c r="Y10" s="135" t="s">
        <v>1200</v>
      </c>
      <c r="Z10" s="134" t="n">
        <v>3</v>
      </c>
      <c r="AA10" s="134" t="n">
        <v>8</v>
      </c>
      <c r="AB10" s="134" t="n">
        <v>9</v>
      </c>
      <c r="AC10" s="134" t="n">
        <v>82</v>
      </c>
      <c r="AD10" s="134" t="n">
        <v>80</v>
      </c>
      <c r="AE10" s="134" t="n">
        <v>8</v>
      </c>
      <c r="AF10" s="134" t="n">
        <v>9</v>
      </c>
      <c r="AG10" s="134" t="n">
        <v>8</v>
      </c>
      <c r="AH10" s="135" t="s">
        <v>1201</v>
      </c>
      <c r="AI10" s="134" t="n">
        <v>5</v>
      </c>
      <c r="AJ10" s="134" t="n">
        <v>5</v>
      </c>
      <c r="AK10" s="134" t="n">
        <v>4</v>
      </c>
      <c r="AL10" s="134" t="n">
        <v>3</v>
      </c>
    </row>
    <row r="11" customFormat="false" ht="49.5" hidden="false" customHeight="true" outlineLevel="0" collapsed="false">
      <c r="A11" s="133" t="s">
        <v>681</v>
      </c>
      <c r="B11" s="134" t="n">
        <v>5</v>
      </c>
      <c r="C11" s="135" t="s">
        <v>1202</v>
      </c>
      <c r="D11" s="134" t="n">
        <v>4</v>
      </c>
      <c r="E11" s="134" t="n">
        <v>380</v>
      </c>
      <c r="F11" s="134" t="n">
        <v>430</v>
      </c>
      <c r="G11" s="134" t="n">
        <v>550</v>
      </c>
      <c r="H11" s="135" t="s">
        <v>1203</v>
      </c>
      <c r="I11" s="135" t="s">
        <v>1204</v>
      </c>
      <c r="J11" s="134" t="n">
        <v>2</v>
      </c>
      <c r="K11" s="135" t="s">
        <v>1205</v>
      </c>
      <c r="L11" s="135" t="s">
        <v>1206</v>
      </c>
      <c r="M11" s="134" t="n">
        <v>8</v>
      </c>
      <c r="N11" s="134" t="n">
        <v>1</v>
      </c>
      <c r="O11" s="134" t="n">
        <v>4</v>
      </c>
      <c r="P11" s="135" t="s">
        <v>1207</v>
      </c>
      <c r="Q11" s="134" t="n">
        <v>60</v>
      </c>
      <c r="R11" s="134" t="n">
        <v>60</v>
      </c>
      <c r="S11" s="134" t="n">
        <v>2</v>
      </c>
      <c r="T11" s="134" t="n">
        <v>4</v>
      </c>
      <c r="U11" s="134" t="n">
        <v>4</v>
      </c>
      <c r="V11" s="134" t="n">
        <v>2</v>
      </c>
      <c r="W11" s="134" t="n">
        <v>60</v>
      </c>
      <c r="X11" s="134" t="n">
        <v>6</v>
      </c>
      <c r="Y11" s="135" t="s">
        <v>1208</v>
      </c>
      <c r="Z11" s="134" t="n">
        <v>1</v>
      </c>
      <c r="AA11" s="134" t="n">
        <v>9</v>
      </c>
      <c r="AB11" s="134" t="n">
        <v>10</v>
      </c>
      <c r="AC11" s="134" t="n">
        <v>68</v>
      </c>
      <c r="AD11" s="134" t="n">
        <v>60</v>
      </c>
      <c r="AE11" s="134" t="n">
        <v>8</v>
      </c>
      <c r="AF11" s="134" t="n">
        <v>9</v>
      </c>
      <c r="AG11" s="134" t="n">
        <v>10</v>
      </c>
      <c r="AH11" s="134" t="s">
        <v>1209</v>
      </c>
      <c r="AI11" s="134" t="n">
        <v>3</v>
      </c>
      <c r="AJ11" s="134" t="n">
        <v>1</v>
      </c>
      <c r="AK11" s="134" t="n">
        <v>2</v>
      </c>
      <c r="AL11" s="134" t="n">
        <v>3</v>
      </c>
    </row>
    <row r="12" customFormat="false" ht="49.5" hidden="false" customHeight="true" outlineLevel="0" collapsed="false">
      <c r="A12" s="133" t="s">
        <v>592</v>
      </c>
      <c r="B12" s="134" t="n">
        <v>5</v>
      </c>
      <c r="C12" s="135" t="s">
        <v>1210</v>
      </c>
      <c r="D12" s="134" t="n">
        <v>3</v>
      </c>
      <c r="E12" s="134" t="n">
        <v>400</v>
      </c>
      <c r="F12" s="134" t="n">
        <v>480</v>
      </c>
      <c r="G12" s="134" t="n">
        <v>600</v>
      </c>
      <c r="H12" s="135" t="s">
        <v>1211</v>
      </c>
      <c r="I12" s="135" t="s">
        <v>1212</v>
      </c>
      <c r="J12" s="134" t="n">
        <v>1</v>
      </c>
      <c r="K12" s="135" t="s">
        <v>1213</v>
      </c>
      <c r="L12" s="134" t="s">
        <v>1214</v>
      </c>
      <c r="M12" s="134" t="n">
        <v>8</v>
      </c>
      <c r="N12" s="134" t="n">
        <v>1</v>
      </c>
      <c r="O12" s="134" t="n">
        <v>4</v>
      </c>
      <c r="P12" s="135" t="s">
        <v>1215</v>
      </c>
      <c r="Q12" s="134" t="n">
        <v>65</v>
      </c>
      <c r="R12" s="134" t="n">
        <v>55</v>
      </c>
      <c r="S12" s="134" t="n">
        <v>1</v>
      </c>
      <c r="T12" s="134" t="n">
        <v>3</v>
      </c>
      <c r="U12" s="134" t="n">
        <v>4</v>
      </c>
      <c r="V12" s="134" t="n">
        <v>3</v>
      </c>
      <c r="W12" s="134" t="n">
        <v>55</v>
      </c>
      <c r="X12" s="134" t="n">
        <v>3</v>
      </c>
      <c r="Y12" s="135" t="s">
        <v>1216</v>
      </c>
      <c r="Z12" s="134" t="n">
        <v>1</v>
      </c>
      <c r="AA12" s="134" t="n">
        <v>9</v>
      </c>
      <c r="AB12" s="134" t="n">
        <v>10</v>
      </c>
      <c r="AC12" s="134" t="n">
        <v>75</v>
      </c>
      <c r="AD12" s="134" t="n">
        <v>70</v>
      </c>
      <c r="AE12" s="134" t="n">
        <v>9</v>
      </c>
      <c r="AF12" s="134" t="n">
        <v>7</v>
      </c>
      <c r="AG12" s="134" t="n">
        <v>10</v>
      </c>
      <c r="AH12" s="134" t="s">
        <v>1217</v>
      </c>
      <c r="AI12" s="134" t="n">
        <v>3</v>
      </c>
      <c r="AJ12" s="134" t="n">
        <v>2</v>
      </c>
      <c r="AK12" s="134" t="n">
        <v>2</v>
      </c>
      <c r="AL12" s="134" t="n">
        <v>3</v>
      </c>
    </row>
    <row r="13" customFormat="false" ht="49.5" hidden="false" customHeight="true" outlineLevel="0" collapsed="false">
      <c r="A13" s="133" t="s">
        <v>586</v>
      </c>
      <c r="B13" s="134" t="n">
        <v>5</v>
      </c>
      <c r="C13" s="135" t="s">
        <v>1218</v>
      </c>
      <c r="D13" s="134" t="n">
        <v>2</v>
      </c>
      <c r="E13" s="134" t="n">
        <v>380</v>
      </c>
      <c r="F13" s="134" t="n">
        <v>450</v>
      </c>
      <c r="G13" s="134" t="n">
        <v>550</v>
      </c>
      <c r="H13" s="135" t="s">
        <v>1219</v>
      </c>
      <c r="I13" s="135" t="s">
        <v>1220</v>
      </c>
      <c r="J13" s="134" t="n">
        <v>2</v>
      </c>
      <c r="K13" s="135" t="s">
        <v>1221</v>
      </c>
      <c r="L13" s="134" t="s">
        <v>1157</v>
      </c>
      <c r="M13" s="134" t="n">
        <v>8</v>
      </c>
      <c r="N13" s="134" t="n">
        <v>2</v>
      </c>
      <c r="O13" s="134" t="n">
        <v>4</v>
      </c>
      <c r="P13" s="135" t="s">
        <v>1222</v>
      </c>
      <c r="Q13" s="134" t="n">
        <v>58</v>
      </c>
      <c r="R13" s="134" t="n">
        <v>45</v>
      </c>
      <c r="S13" s="134" t="n">
        <v>3</v>
      </c>
      <c r="T13" s="134" t="n">
        <v>4</v>
      </c>
      <c r="U13" s="134" t="n">
        <v>5</v>
      </c>
      <c r="V13" s="134" t="n">
        <v>4</v>
      </c>
      <c r="W13" s="134" t="n">
        <v>45</v>
      </c>
      <c r="X13" s="134" t="n">
        <v>4</v>
      </c>
      <c r="Y13" s="135" t="s">
        <v>1223</v>
      </c>
      <c r="Z13" s="134" t="n">
        <v>2</v>
      </c>
      <c r="AA13" s="134" t="n">
        <v>9</v>
      </c>
      <c r="AB13" s="134" t="n">
        <v>10</v>
      </c>
      <c r="AC13" s="134" t="n">
        <v>80</v>
      </c>
      <c r="AD13" s="134" t="n">
        <v>76</v>
      </c>
      <c r="AE13" s="134" t="n">
        <v>8</v>
      </c>
      <c r="AF13" s="134" t="n">
        <v>8</v>
      </c>
      <c r="AG13" s="134" t="n">
        <v>10</v>
      </c>
      <c r="AH13" s="135" t="s">
        <v>1224</v>
      </c>
      <c r="AI13" s="134" t="n">
        <v>5</v>
      </c>
      <c r="AJ13" s="134" t="n">
        <v>2</v>
      </c>
      <c r="AK13" s="134" t="n">
        <v>3</v>
      </c>
      <c r="AL13" s="134" t="n">
        <v>3</v>
      </c>
    </row>
    <row r="14" customFormat="false" ht="49.5" hidden="false" customHeight="true" outlineLevel="0" collapsed="false">
      <c r="A14" s="133" t="s">
        <v>579</v>
      </c>
      <c r="B14" s="134" t="n">
        <v>5</v>
      </c>
      <c r="C14" s="135" t="s">
        <v>1225</v>
      </c>
      <c r="D14" s="134" t="n">
        <v>5</v>
      </c>
      <c r="E14" s="134" t="n">
        <v>380</v>
      </c>
      <c r="F14" s="134" t="n">
        <v>440</v>
      </c>
      <c r="G14" s="134" t="n">
        <v>550</v>
      </c>
      <c r="H14" s="135" t="s">
        <v>1226</v>
      </c>
      <c r="I14" s="135" t="s">
        <v>1155</v>
      </c>
      <c r="J14" s="134" t="n">
        <v>4</v>
      </c>
      <c r="K14" s="135" t="s">
        <v>1227</v>
      </c>
      <c r="L14" s="134" t="s">
        <v>1228</v>
      </c>
      <c r="M14" s="134" t="n">
        <v>8</v>
      </c>
      <c r="N14" s="134" t="n">
        <v>4</v>
      </c>
      <c r="O14" s="134" t="n">
        <v>5</v>
      </c>
      <c r="P14" s="135" t="s">
        <v>1229</v>
      </c>
      <c r="Q14" s="134" t="n">
        <v>52</v>
      </c>
      <c r="R14" s="134" t="n">
        <v>40</v>
      </c>
      <c r="S14" s="134" t="n">
        <v>4</v>
      </c>
      <c r="T14" s="134" t="n">
        <v>4</v>
      </c>
      <c r="U14" s="134" t="n">
        <v>6</v>
      </c>
      <c r="V14" s="134" t="n">
        <v>4</v>
      </c>
      <c r="W14" s="134" t="n">
        <v>35</v>
      </c>
      <c r="X14" s="134" t="n">
        <v>7</v>
      </c>
      <c r="Y14" s="135" t="s">
        <v>1230</v>
      </c>
      <c r="Z14" s="134" t="n">
        <v>2</v>
      </c>
      <c r="AA14" s="134" t="n">
        <v>8</v>
      </c>
      <c r="AB14" s="134" t="n">
        <v>9</v>
      </c>
      <c r="AC14" s="134" t="n">
        <v>75</v>
      </c>
      <c r="AD14" s="134" t="n">
        <v>72</v>
      </c>
      <c r="AE14" s="134" t="n">
        <v>6</v>
      </c>
      <c r="AF14" s="134" t="n">
        <v>6</v>
      </c>
      <c r="AG14" s="134" t="n">
        <v>7</v>
      </c>
      <c r="AH14" s="134" t="s">
        <v>1231</v>
      </c>
      <c r="AI14" s="134" t="n">
        <v>5</v>
      </c>
      <c r="AJ14" s="134" t="n">
        <v>5</v>
      </c>
      <c r="AK14" s="134" t="n">
        <v>4</v>
      </c>
      <c r="AL14" s="134" t="n">
        <v>3</v>
      </c>
    </row>
    <row r="15" customFormat="false" ht="49.5" hidden="false" customHeight="true" outlineLevel="0" collapsed="false">
      <c r="A15" s="133" t="s">
        <v>570</v>
      </c>
      <c r="B15" s="134" t="n">
        <v>5</v>
      </c>
      <c r="C15" s="135" t="s">
        <v>1232</v>
      </c>
      <c r="D15" s="134" t="n">
        <v>3</v>
      </c>
      <c r="E15" s="134" t="n">
        <v>450</v>
      </c>
      <c r="F15" s="134" t="n">
        <v>550</v>
      </c>
      <c r="G15" s="134" t="n">
        <v>750</v>
      </c>
      <c r="H15" s="135" t="s">
        <v>1233</v>
      </c>
      <c r="I15" s="135" t="s">
        <v>1234</v>
      </c>
      <c r="J15" s="134" t="n">
        <v>5</v>
      </c>
      <c r="K15" s="135" t="s">
        <v>1235</v>
      </c>
      <c r="L15" s="134" t="s">
        <v>1236</v>
      </c>
      <c r="M15" s="134" t="n">
        <v>7</v>
      </c>
      <c r="N15" s="134" t="n">
        <v>5</v>
      </c>
      <c r="O15" s="134" t="n">
        <v>5</v>
      </c>
      <c r="P15" s="135" t="s">
        <v>1237</v>
      </c>
      <c r="Q15" s="134" t="n">
        <v>50</v>
      </c>
      <c r="R15" s="134" t="n">
        <v>35</v>
      </c>
      <c r="S15" s="134" t="n">
        <v>6</v>
      </c>
      <c r="T15" s="134" t="n">
        <v>5</v>
      </c>
      <c r="U15" s="134" t="n">
        <v>6</v>
      </c>
      <c r="V15" s="134" t="n">
        <v>5</v>
      </c>
      <c r="W15" s="134" t="n">
        <v>30</v>
      </c>
      <c r="X15" s="134" t="n">
        <v>7</v>
      </c>
      <c r="Y15" s="135" t="s">
        <v>1238</v>
      </c>
      <c r="Z15" s="134" t="n">
        <v>3</v>
      </c>
      <c r="AA15" s="134" t="n">
        <v>9</v>
      </c>
      <c r="AB15" s="134" t="n">
        <v>10</v>
      </c>
      <c r="AC15" s="134" t="n">
        <v>80</v>
      </c>
      <c r="AD15" s="134" t="n">
        <v>78</v>
      </c>
      <c r="AE15" s="134" t="n">
        <v>7</v>
      </c>
      <c r="AF15" s="134" t="n">
        <v>8</v>
      </c>
      <c r="AG15" s="134" t="n">
        <v>8</v>
      </c>
      <c r="AH15" s="135" t="s">
        <v>1239</v>
      </c>
      <c r="AI15" s="134" t="n">
        <v>5</v>
      </c>
      <c r="AJ15" s="134" t="n">
        <v>6</v>
      </c>
      <c r="AK15" s="134" t="n">
        <v>5</v>
      </c>
      <c r="AL15" s="134" t="n">
        <v>3</v>
      </c>
    </row>
    <row r="16" customFormat="false" ht="49.5" hidden="false" customHeight="true" outlineLevel="0" collapsed="false">
      <c r="A16" s="133" t="s">
        <v>577</v>
      </c>
      <c r="B16" s="134" t="n">
        <v>5</v>
      </c>
      <c r="C16" s="135" t="s">
        <v>1240</v>
      </c>
      <c r="D16" s="134" t="n">
        <v>3</v>
      </c>
      <c r="E16" s="134" t="n">
        <v>600</v>
      </c>
      <c r="F16" s="134" t="n">
        <v>750</v>
      </c>
      <c r="G16" s="134" t="n">
        <v>1100</v>
      </c>
      <c r="H16" s="135" t="s">
        <v>1241</v>
      </c>
      <c r="I16" s="135" t="s">
        <v>1242</v>
      </c>
      <c r="J16" s="134" t="n">
        <v>3</v>
      </c>
      <c r="K16" s="135" t="s">
        <v>1243</v>
      </c>
      <c r="L16" s="134" t="s">
        <v>1157</v>
      </c>
      <c r="M16" s="134" t="n">
        <v>9</v>
      </c>
      <c r="N16" s="134" t="n">
        <v>3</v>
      </c>
      <c r="O16" s="134" t="n">
        <v>4</v>
      </c>
      <c r="P16" s="135" t="s">
        <v>1244</v>
      </c>
      <c r="Q16" s="134" t="n">
        <v>55</v>
      </c>
      <c r="R16" s="134" t="n">
        <v>45</v>
      </c>
      <c r="S16" s="134" t="n">
        <v>3</v>
      </c>
      <c r="T16" s="134" t="n">
        <v>5</v>
      </c>
      <c r="U16" s="134" t="n">
        <v>5</v>
      </c>
      <c r="V16" s="134" t="n">
        <v>2</v>
      </c>
      <c r="W16" s="134" t="n">
        <v>70</v>
      </c>
      <c r="X16" s="134" t="n">
        <v>6</v>
      </c>
      <c r="Y16" s="135" t="s">
        <v>1245</v>
      </c>
      <c r="Z16" s="134" t="n">
        <v>2</v>
      </c>
      <c r="AA16" s="134" t="n">
        <v>8</v>
      </c>
      <c r="AB16" s="134" t="n">
        <v>10</v>
      </c>
      <c r="AC16" s="134" t="n">
        <v>76</v>
      </c>
      <c r="AD16" s="134" t="n">
        <v>72</v>
      </c>
      <c r="AE16" s="134" t="n">
        <v>8</v>
      </c>
      <c r="AF16" s="134" t="n">
        <v>6</v>
      </c>
      <c r="AG16" s="134" t="n">
        <v>8</v>
      </c>
      <c r="AH16" s="134" t="s">
        <v>1246</v>
      </c>
      <c r="AI16" s="134" t="n">
        <v>3</v>
      </c>
      <c r="AJ16" s="134" t="n">
        <v>4</v>
      </c>
      <c r="AK16" s="134" t="n">
        <v>2</v>
      </c>
      <c r="AL16" s="134" t="n">
        <v>2</v>
      </c>
    </row>
    <row r="17" customFormat="false" ht="49.5" hidden="false" customHeight="true" outlineLevel="0" collapsed="false">
      <c r="A17" s="133" t="s">
        <v>671</v>
      </c>
      <c r="B17" s="134" t="n">
        <v>5</v>
      </c>
      <c r="C17" s="135" t="s">
        <v>1247</v>
      </c>
      <c r="D17" s="134" t="n">
        <v>2</v>
      </c>
      <c r="E17" s="134" t="n">
        <v>450</v>
      </c>
      <c r="F17" s="134" t="n">
        <v>560</v>
      </c>
      <c r="G17" s="134" t="n">
        <v>800</v>
      </c>
      <c r="H17" s="135" t="s">
        <v>1248</v>
      </c>
      <c r="I17" s="135" t="s">
        <v>1249</v>
      </c>
      <c r="J17" s="134" t="n">
        <v>5</v>
      </c>
      <c r="K17" s="135" t="s">
        <v>1250</v>
      </c>
      <c r="L17" s="134" t="s">
        <v>1236</v>
      </c>
      <c r="M17" s="134" t="n">
        <v>7</v>
      </c>
      <c r="N17" s="134" t="n">
        <v>5</v>
      </c>
      <c r="O17" s="134" t="n">
        <v>5</v>
      </c>
      <c r="P17" s="135" t="s">
        <v>1251</v>
      </c>
      <c r="Q17" s="134" t="n">
        <v>50</v>
      </c>
      <c r="R17" s="134" t="n">
        <v>32</v>
      </c>
      <c r="S17" s="134" t="n">
        <v>6</v>
      </c>
      <c r="T17" s="134" t="n">
        <v>5</v>
      </c>
      <c r="U17" s="134" t="n">
        <v>7</v>
      </c>
      <c r="V17" s="134" t="n">
        <v>6</v>
      </c>
      <c r="W17" s="134" t="n">
        <v>25</v>
      </c>
      <c r="X17" s="134" t="n">
        <v>7</v>
      </c>
      <c r="Y17" s="135" t="s">
        <v>1252</v>
      </c>
      <c r="Z17" s="134" t="n">
        <v>3</v>
      </c>
      <c r="AA17" s="134" t="n">
        <v>8</v>
      </c>
      <c r="AB17" s="134" t="n">
        <v>9</v>
      </c>
      <c r="AC17" s="134" t="n">
        <v>85</v>
      </c>
      <c r="AD17" s="134" t="n">
        <v>82</v>
      </c>
      <c r="AE17" s="134" t="n">
        <v>7</v>
      </c>
      <c r="AF17" s="134" t="n">
        <v>7</v>
      </c>
      <c r="AG17" s="134" t="n">
        <v>7</v>
      </c>
      <c r="AH17" s="134" t="s">
        <v>1253</v>
      </c>
      <c r="AI17" s="134" t="n">
        <v>6</v>
      </c>
      <c r="AJ17" s="134" t="n">
        <v>7</v>
      </c>
      <c r="AK17" s="134" t="n">
        <v>6</v>
      </c>
      <c r="AL17" s="134" t="n">
        <v>3</v>
      </c>
    </row>
    <row r="18" customFormat="false" ht="49.5" hidden="false" customHeight="true" outlineLevel="0" collapsed="false">
      <c r="A18" s="133" t="s">
        <v>576</v>
      </c>
      <c r="B18" s="134" t="n">
        <v>5</v>
      </c>
      <c r="C18" s="135" t="s">
        <v>1254</v>
      </c>
      <c r="D18" s="134" t="n">
        <v>5</v>
      </c>
      <c r="E18" s="134" t="n">
        <v>380</v>
      </c>
      <c r="F18" s="134" t="n">
        <v>450</v>
      </c>
      <c r="G18" s="134" t="n">
        <v>600</v>
      </c>
      <c r="H18" s="135" t="s">
        <v>1255</v>
      </c>
      <c r="I18" s="135" t="s">
        <v>1256</v>
      </c>
      <c r="J18" s="134" t="n">
        <v>5</v>
      </c>
      <c r="K18" s="135" t="s">
        <v>1257</v>
      </c>
      <c r="L18" s="134" t="s">
        <v>1228</v>
      </c>
      <c r="M18" s="134" t="n">
        <v>8</v>
      </c>
      <c r="N18" s="134" t="n">
        <v>5</v>
      </c>
      <c r="O18" s="134" t="n">
        <v>5</v>
      </c>
      <c r="P18" s="135" t="s">
        <v>1258</v>
      </c>
      <c r="Q18" s="134" t="n">
        <v>48</v>
      </c>
      <c r="R18" s="134" t="n">
        <v>35</v>
      </c>
      <c r="S18" s="134" t="n">
        <v>5</v>
      </c>
      <c r="T18" s="134" t="n">
        <v>5</v>
      </c>
      <c r="U18" s="134" t="n">
        <v>7</v>
      </c>
      <c r="V18" s="134" t="n">
        <v>5</v>
      </c>
      <c r="W18" s="134" t="n">
        <v>30</v>
      </c>
      <c r="X18" s="134" t="n">
        <v>7</v>
      </c>
      <c r="Y18" s="135" t="s">
        <v>1259</v>
      </c>
      <c r="Z18" s="134" t="n">
        <v>4</v>
      </c>
      <c r="AA18" s="134" t="n">
        <v>7</v>
      </c>
      <c r="AB18" s="134" t="n">
        <v>8</v>
      </c>
      <c r="AC18" s="134" t="n">
        <v>78</v>
      </c>
      <c r="AD18" s="134" t="n">
        <v>75</v>
      </c>
      <c r="AE18" s="134" t="n">
        <v>6</v>
      </c>
      <c r="AF18" s="134" t="n">
        <v>5</v>
      </c>
      <c r="AG18" s="134" t="n">
        <v>8</v>
      </c>
      <c r="AH18" s="134" t="s">
        <v>1260</v>
      </c>
      <c r="AI18" s="134" t="n">
        <v>6</v>
      </c>
      <c r="AJ18" s="134" t="n">
        <v>6</v>
      </c>
      <c r="AK18" s="134" t="n">
        <v>5</v>
      </c>
      <c r="AL18" s="134" t="n">
        <v>4</v>
      </c>
    </row>
    <row r="19" customFormat="false" ht="49.5" hidden="false" customHeight="true" outlineLevel="0" collapsed="false">
      <c r="A19" s="133" t="s">
        <v>678</v>
      </c>
      <c r="B19" s="134" t="n">
        <v>3</v>
      </c>
      <c r="C19" s="135" t="s">
        <v>1261</v>
      </c>
      <c r="D19" s="134" t="n">
        <v>2</v>
      </c>
      <c r="E19" s="134" t="n">
        <v>500</v>
      </c>
      <c r="F19" s="134" t="n">
        <v>650</v>
      </c>
      <c r="G19" s="134" t="n">
        <v>1000</v>
      </c>
      <c r="H19" s="135" t="s">
        <v>1262</v>
      </c>
      <c r="I19" s="135" t="s">
        <v>1263</v>
      </c>
      <c r="J19" s="134" t="n">
        <v>2</v>
      </c>
      <c r="K19" s="135" t="s">
        <v>1264</v>
      </c>
      <c r="L19" s="134" t="s">
        <v>1157</v>
      </c>
      <c r="M19" s="134" t="n">
        <v>9</v>
      </c>
      <c r="N19" s="134" t="n">
        <v>1</v>
      </c>
      <c r="O19" s="134" t="n">
        <v>3</v>
      </c>
      <c r="P19" s="135" t="s">
        <v>1265</v>
      </c>
      <c r="Q19" s="134" t="n">
        <v>58</v>
      </c>
      <c r="R19" s="134" t="n">
        <v>48</v>
      </c>
      <c r="S19" s="134" t="n">
        <v>3</v>
      </c>
      <c r="T19" s="134" t="n">
        <v>4</v>
      </c>
      <c r="U19" s="134" t="n">
        <v>5</v>
      </c>
      <c r="V19" s="134" t="n">
        <v>3</v>
      </c>
      <c r="W19" s="134" t="n">
        <v>55</v>
      </c>
      <c r="X19" s="134" t="n">
        <v>5</v>
      </c>
      <c r="Y19" s="135" t="s">
        <v>1266</v>
      </c>
      <c r="Z19" s="134" t="n">
        <v>2</v>
      </c>
      <c r="AA19" s="134" t="n">
        <v>7</v>
      </c>
      <c r="AB19" s="134" t="n">
        <v>9</v>
      </c>
      <c r="AC19" s="134" t="n">
        <v>77</v>
      </c>
      <c r="AD19" s="134" t="n">
        <v>73</v>
      </c>
      <c r="AE19" s="134" t="n">
        <v>8</v>
      </c>
      <c r="AF19" s="134" t="n">
        <v>7</v>
      </c>
      <c r="AG19" s="134" t="n">
        <v>9</v>
      </c>
      <c r="AH19" s="135" t="s">
        <v>1267</v>
      </c>
      <c r="AI19" s="134" t="n">
        <v>4</v>
      </c>
      <c r="AJ19" s="134" t="n">
        <v>3</v>
      </c>
      <c r="AK19" s="134" t="n">
        <v>2</v>
      </c>
      <c r="AL19" s="134" t="n">
        <v>3</v>
      </c>
    </row>
    <row r="20" customFormat="false" ht="49.5" hidden="false" customHeight="true" outlineLevel="0" collapsed="false">
      <c r="A20" s="133" t="s">
        <v>679</v>
      </c>
      <c r="B20" s="135" t="s">
        <v>1268</v>
      </c>
      <c r="C20" s="135" t="s">
        <v>1269</v>
      </c>
      <c r="D20" s="134" t="n">
        <v>3</v>
      </c>
      <c r="E20" s="134" t="n">
        <v>400</v>
      </c>
      <c r="F20" s="134" t="n">
        <v>520</v>
      </c>
      <c r="G20" s="134" t="n">
        <v>700</v>
      </c>
      <c r="H20" s="135" t="s">
        <v>1270</v>
      </c>
      <c r="I20" s="135" t="s">
        <v>1271</v>
      </c>
      <c r="J20" s="134" t="n">
        <v>3</v>
      </c>
      <c r="K20" s="135" t="s">
        <v>1272</v>
      </c>
      <c r="L20" s="134" t="s">
        <v>1157</v>
      </c>
      <c r="M20" s="134" t="n">
        <v>9</v>
      </c>
      <c r="N20" s="134" t="n">
        <v>2</v>
      </c>
      <c r="O20" s="134" t="n">
        <v>4</v>
      </c>
      <c r="P20" s="135" t="s">
        <v>1273</v>
      </c>
      <c r="Q20" s="134" t="n">
        <v>55</v>
      </c>
      <c r="R20" s="134" t="n">
        <v>40</v>
      </c>
      <c r="S20" s="134" t="n">
        <v>3</v>
      </c>
      <c r="T20" s="134" t="n">
        <v>4</v>
      </c>
      <c r="U20" s="134" t="n">
        <v>5</v>
      </c>
      <c r="V20" s="134" t="n">
        <v>4</v>
      </c>
      <c r="W20" s="134" t="n">
        <v>40</v>
      </c>
      <c r="X20" s="134" t="n">
        <v>5</v>
      </c>
      <c r="Y20" s="135" t="s">
        <v>1274</v>
      </c>
      <c r="Z20" s="134" t="n">
        <v>2</v>
      </c>
      <c r="AA20" s="134" t="n">
        <v>7</v>
      </c>
      <c r="AB20" s="134" t="n">
        <v>9</v>
      </c>
      <c r="AC20" s="134" t="n">
        <v>80</v>
      </c>
      <c r="AD20" s="134" t="n">
        <v>77</v>
      </c>
      <c r="AE20" s="134" t="n">
        <v>8</v>
      </c>
      <c r="AF20" s="134" t="n">
        <v>9</v>
      </c>
      <c r="AG20" s="134" t="n">
        <v>8</v>
      </c>
      <c r="AH20" s="135" t="s">
        <v>1275</v>
      </c>
      <c r="AI20" s="134" t="n">
        <v>4</v>
      </c>
      <c r="AJ20" s="134" t="n">
        <v>5</v>
      </c>
      <c r="AK20" s="134" t="n">
        <v>4</v>
      </c>
      <c r="AL20" s="134" t="n">
        <v>3</v>
      </c>
    </row>
    <row r="21" customFormat="false" ht="49.5" hidden="false" customHeight="true" outlineLevel="0" collapsed="false">
      <c r="A21" s="133" t="s">
        <v>675</v>
      </c>
      <c r="B21" s="134" t="n">
        <v>3</v>
      </c>
      <c r="C21" s="135" t="s">
        <v>1276</v>
      </c>
      <c r="D21" s="134" t="n">
        <v>3</v>
      </c>
      <c r="E21" s="134" t="n">
        <v>400</v>
      </c>
      <c r="F21" s="134" t="n">
        <v>530</v>
      </c>
      <c r="G21" s="134" t="n">
        <v>750</v>
      </c>
      <c r="H21" s="135" t="s">
        <v>1277</v>
      </c>
      <c r="I21" s="135" t="s">
        <v>1278</v>
      </c>
      <c r="J21" s="134" t="n">
        <v>5</v>
      </c>
      <c r="K21" s="135" t="s">
        <v>1279</v>
      </c>
      <c r="L21" s="134" t="s">
        <v>1236</v>
      </c>
      <c r="M21" s="134" t="n">
        <v>7</v>
      </c>
      <c r="N21" s="134" t="n">
        <v>4</v>
      </c>
      <c r="O21" s="134" t="n">
        <v>4</v>
      </c>
      <c r="P21" s="135" t="s">
        <v>1280</v>
      </c>
      <c r="Q21" s="134" t="n">
        <v>50</v>
      </c>
      <c r="R21" s="134" t="n">
        <v>42</v>
      </c>
      <c r="S21" s="134" t="n">
        <v>5</v>
      </c>
      <c r="T21" s="134" t="n">
        <v>5</v>
      </c>
      <c r="U21" s="134" t="n">
        <v>7</v>
      </c>
      <c r="V21" s="134" t="n">
        <v>5</v>
      </c>
      <c r="W21" s="134" t="n">
        <v>25</v>
      </c>
      <c r="X21" s="134" t="n">
        <v>8</v>
      </c>
      <c r="Y21" s="135" t="s">
        <v>1281</v>
      </c>
      <c r="Z21" s="134" t="n">
        <v>4</v>
      </c>
      <c r="AA21" s="134" t="n">
        <v>6</v>
      </c>
      <c r="AB21" s="134" t="n">
        <v>8</v>
      </c>
      <c r="AC21" s="134" t="n">
        <v>80</v>
      </c>
      <c r="AD21" s="134" t="n">
        <v>76</v>
      </c>
      <c r="AE21" s="134" t="n">
        <v>7</v>
      </c>
      <c r="AF21" s="134" t="n">
        <v>6</v>
      </c>
      <c r="AG21" s="134" t="n">
        <v>7</v>
      </c>
      <c r="AH21" s="135" t="s">
        <v>1282</v>
      </c>
      <c r="AI21" s="134" t="n">
        <v>6</v>
      </c>
      <c r="AJ21" s="134" t="n">
        <v>6</v>
      </c>
      <c r="AK21" s="134" t="n">
        <v>5</v>
      </c>
      <c r="AL21" s="134" t="n">
        <v>4</v>
      </c>
    </row>
    <row r="22" customFormat="false" ht="49.5" hidden="false" customHeight="true" outlineLevel="0" collapsed="false">
      <c r="A22" s="133" t="s">
        <v>574</v>
      </c>
      <c r="B22" s="134" t="s">
        <v>1283</v>
      </c>
      <c r="C22" s="135" t="s">
        <v>1284</v>
      </c>
      <c r="D22" s="134" t="n">
        <v>2</v>
      </c>
      <c r="E22" s="134" t="n">
        <v>400</v>
      </c>
      <c r="F22" s="134" t="n">
        <v>520</v>
      </c>
      <c r="G22" s="134" t="n">
        <v>700</v>
      </c>
      <c r="H22" s="135" t="s">
        <v>1285</v>
      </c>
      <c r="I22" s="135" t="s">
        <v>1234</v>
      </c>
      <c r="J22" s="134" t="n">
        <v>5</v>
      </c>
      <c r="K22" s="135" t="s">
        <v>1286</v>
      </c>
      <c r="L22" s="134" t="s">
        <v>1236</v>
      </c>
      <c r="M22" s="134" t="n">
        <v>8</v>
      </c>
      <c r="N22" s="134" t="n">
        <v>4</v>
      </c>
      <c r="O22" s="134" t="n">
        <v>5</v>
      </c>
      <c r="P22" s="135" t="s">
        <v>1287</v>
      </c>
      <c r="Q22" s="134" t="n">
        <v>52</v>
      </c>
      <c r="R22" s="134" t="n">
        <v>38</v>
      </c>
      <c r="S22" s="134" t="n">
        <v>5</v>
      </c>
      <c r="T22" s="134" t="n">
        <v>5</v>
      </c>
      <c r="U22" s="134" t="n">
        <v>6</v>
      </c>
      <c r="V22" s="134" t="n">
        <v>5</v>
      </c>
      <c r="W22" s="134" t="n">
        <v>30</v>
      </c>
      <c r="X22" s="134" t="n">
        <v>8</v>
      </c>
      <c r="Y22" s="135" t="s">
        <v>1288</v>
      </c>
      <c r="Z22" s="134" t="n">
        <v>3</v>
      </c>
      <c r="AA22" s="134" t="n">
        <v>7</v>
      </c>
      <c r="AB22" s="134" t="n">
        <v>9</v>
      </c>
      <c r="AC22" s="134" t="n">
        <v>82</v>
      </c>
      <c r="AD22" s="134" t="n">
        <v>79</v>
      </c>
      <c r="AE22" s="134" t="n">
        <v>7</v>
      </c>
      <c r="AF22" s="134" t="n">
        <v>8</v>
      </c>
      <c r="AG22" s="134" t="n">
        <v>8</v>
      </c>
      <c r="AH22" s="135" t="s">
        <v>1289</v>
      </c>
      <c r="AI22" s="134" t="n">
        <v>5</v>
      </c>
      <c r="AJ22" s="134" t="n">
        <v>6</v>
      </c>
      <c r="AK22" s="134" t="n">
        <v>5</v>
      </c>
      <c r="AL22" s="134" t="n">
        <v>3</v>
      </c>
    </row>
    <row r="23" customFormat="false" ht="49.5" hidden="false" customHeight="true" outlineLevel="0" collapsed="false">
      <c r="A23" s="133" t="s">
        <v>594</v>
      </c>
      <c r="B23" s="134" t="n">
        <v>4</v>
      </c>
      <c r="C23" s="135" t="s">
        <v>1290</v>
      </c>
      <c r="D23" s="134" t="n">
        <v>4</v>
      </c>
      <c r="E23" s="134" t="n">
        <v>310</v>
      </c>
      <c r="F23" s="134" t="n">
        <v>380</v>
      </c>
      <c r="G23" s="134" t="n">
        <v>500</v>
      </c>
      <c r="H23" s="135" t="s">
        <v>1291</v>
      </c>
      <c r="I23" s="135" t="s">
        <v>1292</v>
      </c>
      <c r="J23" s="134" t="n">
        <v>4</v>
      </c>
      <c r="K23" s="135" t="s">
        <v>1293</v>
      </c>
      <c r="L23" s="134" t="s">
        <v>1236</v>
      </c>
      <c r="M23" s="134" t="n">
        <v>7</v>
      </c>
      <c r="N23" s="134" t="n">
        <v>2</v>
      </c>
      <c r="O23" s="134" t="n">
        <v>4</v>
      </c>
      <c r="P23" s="135" t="s">
        <v>1294</v>
      </c>
      <c r="Q23" s="134" t="n">
        <v>55</v>
      </c>
      <c r="R23" s="134" t="n">
        <v>52</v>
      </c>
      <c r="S23" s="134" t="n">
        <v>4</v>
      </c>
      <c r="T23" s="134" t="n">
        <v>4</v>
      </c>
      <c r="U23" s="134" t="n">
        <v>5</v>
      </c>
      <c r="V23" s="134" t="n">
        <v>2</v>
      </c>
      <c r="W23" s="134" t="n">
        <v>85</v>
      </c>
      <c r="X23" s="134" t="n">
        <v>8</v>
      </c>
      <c r="Y23" s="135" t="s">
        <v>1295</v>
      </c>
      <c r="Z23" s="134" t="n">
        <v>4</v>
      </c>
      <c r="AA23" s="134" t="n">
        <v>7</v>
      </c>
      <c r="AB23" s="134" t="n">
        <v>8</v>
      </c>
      <c r="AC23" s="134" t="n">
        <v>68</v>
      </c>
      <c r="AD23" s="134" t="n">
        <v>60</v>
      </c>
      <c r="AE23" s="134" t="n">
        <v>7</v>
      </c>
      <c r="AF23" s="134" t="n">
        <v>8</v>
      </c>
      <c r="AG23" s="134" t="n">
        <v>9</v>
      </c>
      <c r="AH23" s="135" t="s">
        <v>1296</v>
      </c>
      <c r="AI23" s="134" t="n">
        <v>4</v>
      </c>
      <c r="AJ23" s="134" t="n">
        <v>3</v>
      </c>
      <c r="AK23" s="134" t="n">
        <v>1</v>
      </c>
      <c r="AL23" s="134" t="n">
        <v>4</v>
      </c>
    </row>
    <row r="24" customFormat="false" ht="49.5" hidden="false" customHeight="true" outlineLevel="0" collapsed="false">
      <c r="A24" s="133" t="s">
        <v>568</v>
      </c>
      <c r="B24" s="135" t="s">
        <v>1297</v>
      </c>
      <c r="C24" s="135" t="s">
        <v>1298</v>
      </c>
      <c r="D24" s="134" t="n">
        <v>1</v>
      </c>
      <c r="E24" s="134" t="n">
        <v>350</v>
      </c>
      <c r="F24" s="134" t="n">
        <v>450</v>
      </c>
      <c r="G24" s="134" t="n">
        <v>800</v>
      </c>
      <c r="H24" s="135" t="s">
        <v>1299</v>
      </c>
      <c r="I24" s="135" t="s">
        <v>1300</v>
      </c>
      <c r="J24" s="134" t="n">
        <v>6</v>
      </c>
      <c r="K24" s="135" t="s">
        <v>1301</v>
      </c>
      <c r="L24" s="134" t="s">
        <v>1302</v>
      </c>
      <c r="M24" s="134" t="n">
        <v>7</v>
      </c>
      <c r="N24" s="134" t="n">
        <v>7</v>
      </c>
      <c r="O24" s="134" t="n">
        <v>5</v>
      </c>
      <c r="P24" s="135" t="s">
        <v>1303</v>
      </c>
      <c r="Q24" s="134" t="n">
        <v>47</v>
      </c>
      <c r="R24" s="134" t="n">
        <v>30</v>
      </c>
      <c r="S24" s="134" t="n">
        <v>7</v>
      </c>
      <c r="T24" s="134" t="n">
        <v>5</v>
      </c>
      <c r="U24" s="134" t="n">
        <v>8</v>
      </c>
      <c r="V24" s="134" t="n">
        <v>6</v>
      </c>
      <c r="W24" s="134" t="n">
        <v>15</v>
      </c>
      <c r="X24" s="134" t="n">
        <v>7</v>
      </c>
      <c r="Y24" s="135" t="s">
        <v>1304</v>
      </c>
      <c r="Z24" s="134" t="n">
        <v>3</v>
      </c>
      <c r="AA24" s="134" t="n">
        <v>6</v>
      </c>
      <c r="AB24" s="134" t="n">
        <v>9</v>
      </c>
      <c r="AC24" s="134" t="n">
        <v>85</v>
      </c>
      <c r="AD24" s="134" t="n">
        <v>83</v>
      </c>
      <c r="AE24" s="134" t="n">
        <v>8</v>
      </c>
      <c r="AF24" s="134" t="n">
        <v>7</v>
      </c>
      <c r="AG24" s="134" t="n">
        <v>8</v>
      </c>
      <c r="AH24" s="135" t="s">
        <v>1305</v>
      </c>
      <c r="AI24" s="134" t="n">
        <v>6</v>
      </c>
      <c r="AJ24" s="134" t="n">
        <v>7</v>
      </c>
      <c r="AK24" s="134" t="n">
        <v>6</v>
      </c>
      <c r="AL24" s="134" t="n">
        <v>3</v>
      </c>
    </row>
    <row r="25" customFormat="false" ht="49.5" hidden="false" customHeight="true" outlineLevel="0" collapsed="false">
      <c r="A25" s="133" t="s">
        <v>572</v>
      </c>
      <c r="B25" s="134" t="n">
        <v>5</v>
      </c>
      <c r="C25" s="135" t="s">
        <v>1306</v>
      </c>
      <c r="D25" s="134" t="n">
        <v>2</v>
      </c>
      <c r="E25" s="134" t="n">
        <v>380</v>
      </c>
      <c r="F25" s="134" t="n">
        <v>470</v>
      </c>
      <c r="G25" s="134" t="n">
        <v>650</v>
      </c>
      <c r="H25" s="135" t="s">
        <v>1285</v>
      </c>
      <c r="I25" s="135" t="s">
        <v>1307</v>
      </c>
      <c r="J25" s="134" t="n">
        <v>5</v>
      </c>
      <c r="K25" s="135" t="s">
        <v>1308</v>
      </c>
      <c r="L25" s="134" t="s">
        <v>1236</v>
      </c>
      <c r="M25" s="134" t="n">
        <v>7</v>
      </c>
      <c r="N25" s="134" t="n">
        <v>5</v>
      </c>
      <c r="O25" s="134" t="n">
        <v>5</v>
      </c>
      <c r="P25" s="135" t="s">
        <v>1309</v>
      </c>
      <c r="Q25" s="134" t="n">
        <v>50</v>
      </c>
      <c r="R25" s="134" t="n">
        <v>35</v>
      </c>
      <c r="S25" s="134" t="n">
        <v>6</v>
      </c>
      <c r="T25" s="134" t="n">
        <v>5</v>
      </c>
      <c r="U25" s="134" t="n">
        <v>7</v>
      </c>
      <c r="V25" s="134" t="n">
        <v>5</v>
      </c>
      <c r="W25" s="134" t="n">
        <v>25</v>
      </c>
      <c r="X25" s="134" t="n">
        <v>7</v>
      </c>
      <c r="Y25" s="135" t="s">
        <v>1310</v>
      </c>
      <c r="Z25" s="134" t="n">
        <v>3</v>
      </c>
      <c r="AA25" s="134" t="n">
        <v>8</v>
      </c>
      <c r="AB25" s="134" t="n">
        <v>9</v>
      </c>
      <c r="AC25" s="134" t="n">
        <v>82</v>
      </c>
      <c r="AD25" s="134" t="n">
        <v>80</v>
      </c>
      <c r="AE25" s="134" t="n">
        <v>8</v>
      </c>
      <c r="AF25" s="134" t="n">
        <v>9</v>
      </c>
      <c r="AG25" s="134" t="n">
        <v>8</v>
      </c>
      <c r="AH25" s="135" t="s">
        <v>1311</v>
      </c>
      <c r="AI25" s="134" t="n">
        <v>6</v>
      </c>
      <c r="AJ25" s="134" t="n">
        <v>6</v>
      </c>
      <c r="AK25" s="134" t="n">
        <v>5</v>
      </c>
      <c r="AL25" s="134" t="n">
        <v>3</v>
      </c>
    </row>
    <row r="26" customFormat="false" ht="49.5" hidden="false" customHeight="true" outlineLevel="0" collapsed="false">
      <c r="A26" s="133" t="s">
        <v>666</v>
      </c>
      <c r="B26" s="135" t="s">
        <v>1312</v>
      </c>
      <c r="C26" s="135" t="s">
        <v>1313</v>
      </c>
      <c r="D26" s="134" t="n">
        <v>1</v>
      </c>
      <c r="E26" s="134" t="n">
        <v>450</v>
      </c>
      <c r="F26" s="134" t="n">
        <v>600</v>
      </c>
      <c r="G26" s="134" t="n">
        <v>1000</v>
      </c>
      <c r="H26" s="135" t="s">
        <v>1314</v>
      </c>
      <c r="I26" s="135" t="s">
        <v>1315</v>
      </c>
      <c r="J26" s="134" t="n">
        <v>8</v>
      </c>
      <c r="K26" s="135" t="s">
        <v>1316</v>
      </c>
      <c r="L26" s="135" t="s">
        <v>1317</v>
      </c>
      <c r="M26" s="134" t="n">
        <v>9</v>
      </c>
      <c r="N26" s="134" t="n">
        <v>10</v>
      </c>
      <c r="O26" s="134" t="n">
        <v>6</v>
      </c>
      <c r="P26" s="135" t="s">
        <v>1318</v>
      </c>
      <c r="Q26" s="134" t="n">
        <v>45</v>
      </c>
      <c r="R26" s="134" t="n">
        <v>22</v>
      </c>
      <c r="S26" s="134" t="n">
        <v>9</v>
      </c>
      <c r="T26" s="134" t="n">
        <v>6</v>
      </c>
      <c r="U26" s="134" t="n">
        <v>9</v>
      </c>
      <c r="V26" s="134" t="n">
        <v>8</v>
      </c>
      <c r="W26" s="134" t="n">
        <v>8</v>
      </c>
      <c r="X26" s="134" t="n">
        <v>8</v>
      </c>
      <c r="Y26" s="135" t="s">
        <v>1319</v>
      </c>
      <c r="Z26" s="134" t="n">
        <v>2</v>
      </c>
      <c r="AA26" s="134" t="n">
        <v>6</v>
      </c>
      <c r="AB26" s="134" t="n">
        <v>8</v>
      </c>
      <c r="AC26" s="134" t="n">
        <v>90</v>
      </c>
      <c r="AD26" s="134" t="n">
        <v>88</v>
      </c>
      <c r="AE26" s="134" t="n">
        <v>6</v>
      </c>
      <c r="AF26" s="134" t="n">
        <v>4</v>
      </c>
      <c r="AG26" s="134" t="n">
        <v>7</v>
      </c>
      <c r="AH26" s="135" t="s">
        <v>1320</v>
      </c>
      <c r="AI26" s="134" t="n">
        <v>7</v>
      </c>
      <c r="AJ26" s="134" t="n">
        <v>8</v>
      </c>
      <c r="AK26" s="134" t="n">
        <v>8</v>
      </c>
      <c r="AL26" s="134" t="n">
        <v>5</v>
      </c>
    </row>
    <row r="27" customFormat="false" ht="49.5" hidden="false" customHeight="true" outlineLevel="0" collapsed="false">
      <c r="A27" s="133" t="s">
        <v>673</v>
      </c>
      <c r="B27" s="135" t="s">
        <v>1321</v>
      </c>
      <c r="C27" s="135" t="s">
        <v>1322</v>
      </c>
      <c r="D27" s="134" t="n">
        <v>5</v>
      </c>
      <c r="E27" s="134" t="n">
        <v>350</v>
      </c>
      <c r="F27" s="134" t="n">
        <v>450</v>
      </c>
      <c r="G27" s="134" t="n">
        <v>650</v>
      </c>
      <c r="H27" s="135" t="s">
        <v>1323</v>
      </c>
      <c r="I27" s="135" t="s">
        <v>1324</v>
      </c>
      <c r="J27" s="134" t="n">
        <v>7</v>
      </c>
      <c r="K27" s="135" t="s">
        <v>1325</v>
      </c>
      <c r="L27" s="134" t="s">
        <v>1236</v>
      </c>
      <c r="M27" s="134" t="n">
        <v>7</v>
      </c>
      <c r="N27" s="134" t="n">
        <v>8</v>
      </c>
      <c r="O27" s="134" t="n">
        <v>5</v>
      </c>
      <c r="P27" s="135" t="s">
        <v>1326</v>
      </c>
      <c r="Q27" s="134" t="n">
        <v>45</v>
      </c>
      <c r="R27" s="134" t="n">
        <v>38</v>
      </c>
      <c r="S27" s="134" t="n">
        <v>7</v>
      </c>
      <c r="T27" s="134" t="n">
        <v>5</v>
      </c>
      <c r="U27" s="134" t="n">
        <v>8</v>
      </c>
      <c r="V27" s="134" t="n">
        <v>6</v>
      </c>
      <c r="W27" s="134" t="n">
        <v>20</v>
      </c>
      <c r="X27" s="134" t="n">
        <v>8</v>
      </c>
      <c r="Y27" s="135" t="s">
        <v>1327</v>
      </c>
      <c r="Z27" s="134" t="n">
        <v>5</v>
      </c>
      <c r="AA27" s="134" t="n">
        <v>6</v>
      </c>
      <c r="AB27" s="134" t="n">
        <v>7</v>
      </c>
      <c r="AC27" s="134" t="n">
        <v>72</v>
      </c>
      <c r="AD27" s="134" t="n">
        <v>68</v>
      </c>
      <c r="AE27" s="134" t="n">
        <v>6</v>
      </c>
      <c r="AF27" s="134" t="n">
        <v>5</v>
      </c>
      <c r="AG27" s="134" t="n">
        <v>7</v>
      </c>
      <c r="AH27" s="134" t="s">
        <v>1231</v>
      </c>
      <c r="AI27" s="134" t="n">
        <v>6</v>
      </c>
      <c r="AJ27" s="134" t="n">
        <v>4</v>
      </c>
      <c r="AK27" s="134" t="n">
        <v>4</v>
      </c>
      <c r="AL27" s="134" t="n">
        <v>6</v>
      </c>
    </row>
    <row r="28" customFormat="false" ht="49.5" hidden="false" customHeight="true" outlineLevel="0" collapsed="false">
      <c r="A28" s="133" t="s">
        <v>590</v>
      </c>
      <c r="B28" s="134" t="n">
        <v>3</v>
      </c>
      <c r="C28" s="135" t="s">
        <v>1328</v>
      </c>
      <c r="D28" s="134" t="n">
        <v>5</v>
      </c>
      <c r="E28" s="134" t="n">
        <v>350</v>
      </c>
      <c r="F28" s="134" t="n">
        <v>420</v>
      </c>
      <c r="G28" s="134" t="n">
        <v>550</v>
      </c>
      <c r="H28" s="135" t="s">
        <v>1329</v>
      </c>
      <c r="I28" s="135" t="s">
        <v>1330</v>
      </c>
      <c r="J28" s="134" t="n">
        <v>3</v>
      </c>
      <c r="K28" s="135" t="s">
        <v>1331</v>
      </c>
      <c r="L28" s="135" t="s">
        <v>1332</v>
      </c>
      <c r="M28" s="134" t="n">
        <v>6</v>
      </c>
      <c r="N28" s="134" t="n">
        <v>3</v>
      </c>
      <c r="O28" s="134" t="n">
        <v>4</v>
      </c>
      <c r="P28" s="135" t="s">
        <v>1333</v>
      </c>
      <c r="Q28" s="134" t="n">
        <v>55</v>
      </c>
      <c r="R28" s="134" t="n">
        <v>55</v>
      </c>
      <c r="S28" s="134" t="n">
        <v>3</v>
      </c>
      <c r="T28" s="134" t="n">
        <v>4</v>
      </c>
      <c r="U28" s="134" t="n">
        <v>5</v>
      </c>
      <c r="V28" s="134" t="n">
        <v>4</v>
      </c>
      <c r="W28" s="134" t="n">
        <v>30</v>
      </c>
      <c r="X28" s="134" t="n">
        <v>7</v>
      </c>
      <c r="Y28" s="135" t="s">
        <v>1334</v>
      </c>
      <c r="Z28" s="134" t="n">
        <v>5</v>
      </c>
      <c r="AA28" s="134" t="n">
        <v>6</v>
      </c>
      <c r="AB28" s="134" t="n">
        <v>7</v>
      </c>
      <c r="AC28" s="134" t="n">
        <v>72</v>
      </c>
      <c r="AD28" s="134" t="n">
        <v>65</v>
      </c>
      <c r="AE28" s="134" t="n">
        <v>8</v>
      </c>
      <c r="AF28" s="134" t="n">
        <v>7</v>
      </c>
      <c r="AG28" s="134" t="n">
        <v>9</v>
      </c>
      <c r="AH28" s="134" t="s">
        <v>1260</v>
      </c>
      <c r="AI28" s="134" t="n">
        <v>4</v>
      </c>
      <c r="AJ28" s="134" t="n">
        <v>2</v>
      </c>
      <c r="AK28" s="134" t="n">
        <v>3</v>
      </c>
      <c r="AL28" s="134" t="n">
        <v>6</v>
      </c>
    </row>
    <row r="29" customFormat="false" ht="49.5" hidden="false" customHeight="true" outlineLevel="0" collapsed="false">
      <c r="A29" s="133" t="s">
        <v>580</v>
      </c>
      <c r="B29" s="135" t="s">
        <v>1335</v>
      </c>
      <c r="C29" s="135" t="s">
        <v>1336</v>
      </c>
      <c r="D29" s="134" t="n">
        <v>4</v>
      </c>
      <c r="E29" s="134" t="n">
        <v>380</v>
      </c>
      <c r="F29" s="134" t="n">
        <v>470</v>
      </c>
      <c r="G29" s="134" t="n">
        <v>650</v>
      </c>
      <c r="H29" s="135" t="s">
        <v>1337</v>
      </c>
      <c r="I29" s="135" t="s">
        <v>1338</v>
      </c>
      <c r="J29" s="134" t="n">
        <v>7</v>
      </c>
      <c r="K29" s="135" t="s">
        <v>1339</v>
      </c>
      <c r="L29" s="135" t="s">
        <v>1340</v>
      </c>
      <c r="M29" s="134" t="n">
        <v>2</v>
      </c>
      <c r="N29" s="134" t="n">
        <v>5</v>
      </c>
      <c r="O29" s="134" t="n">
        <v>5</v>
      </c>
      <c r="P29" s="135" t="s">
        <v>1341</v>
      </c>
      <c r="Q29" s="134" t="n">
        <v>47</v>
      </c>
      <c r="R29" s="134" t="n">
        <v>38</v>
      </c>
      <c r="S29" s="134" t="n">
        <v>8</v>
      </c>
      <c r="T29" s="134" t="n">
        <v>5</v>
      </c>
      <c r="U29" s="134" t="n">
        <v>8</v>
      </c>
      <c r="V29" s="134" t="n">
        <v>5</v>
      </c>
      <c r="W29" s="134" t="n">
        <v>20</v>
      </c>
      <c r="X29" s="134" t="n">
        <v>9</v>
      </c>
      <c r="Y29" s="135" t="s">
        <v>1342</v>
      </c>
      <c r="Z29" s="134" t="n">
        <v>9</v>
      </c>
      <c r="AA29" s="134" t="n">
        <v>4</v>
      </c>
      <c r="AB29" s="134" t="n">
        <v>3</v>
      </c>
      <c r="AC29" s="134" t="n">
        <v>78</v>
      </c>
      <c r="AD29" s="134" t="n">
        <v>75</v>
      </c>
      <c r="AE29" s="134" t="n">
        <v>7</v>
      </c>
      <c r="AF29" s="134" t="n">
        <v>6</v>
      </c>
      <c r="AG29" s="134" t="n">
        <v>6</v>
      </c>
      <c r="AH29" s="134" t="s">
        <v>1343</v>
      </c>
      <c r="AI29" s="134" t="n">
        <v>8</v>
      </c>
      <c r="AJ29" s="134" t="n">
        <v>7</v>
      </c>
      <c r="AK29" s="134" t="n">
        <v>5</v>
      </c>
      <c r="AL29" s="134" t="n">
        <v>9</v>
      </c>
    </row>
    <row r="30" customFormat="false" ht="49.5" hidden="false" customHeight="true" outlineLevel="0" collapsed="false">
      <c r="A30" s="133" t="s">
        <v>670</v>
      </c>
      <c r="B30" s="135" t="s">
        <v>1297</v>
      </c>
      <c r="C30" s="135" t="s">
        <v>1344</v>
      </c>
      <c r="D30" s="134" t="n">
        <v>1</v>
      </c>
      <c r="E30" s="134" t="n">
        <v>350</v>
      </c>
      <c r="F30" s="134" t="n">
        <v>450</v>
      </c>
      <c r="G30" s="134" t="n">
        <v>700</v>
      </c>
      <c r="H30" s="135" t="s">
        <v>1345</v>
      </c>
      <c r="I30" s="135" t="s">
        <v>1346</v>
      </c>
      <c r="J30" s="134" t="n">
        <v>8</v>
      </c>
      <c r="K30" s="135" t="s">
        <v>1347</v>
      </c>
      <c r="L30" s="134" t="s">
        <v>1348</v>
      </c>
      <c r="M30" s="134" t="n">
        <v>5</v>
      </c>
      <c r="N30" s="134" t="n">
        <v>9</v>
      </c>
      <c r="O30" s="134" t="n">
        <v>5</v>
      </c>
      <c r="P30" s="135" t="s">
        <v>1349</v>
      </c>
      <c r="Q30" s="134" t="n">
        <v>43</v>
      </c>
      <c r="R30" s="134" t="n">
        <v>25</v>
      </c>
      <c r="S30" s="134" t="n">
        <v>9</v>
      </c>
      <c r="T30" s="134" t="n">
        <v>6</v>
      </c>
      <c r="U30" s="134" t="n">
        <v>9</v>
      </c>
      <c r="V30" s="134" t="n">
        <v>8</v>
      </c>
      <c r="W30" s="134" t="n">
        <v>8</v>
      </c>
      <c r="X30" s="134" t="n">
        <v>8</v>
      </c>
      <c r="Y30" s="135" t="s">
        <v>1350</v>
      </c>
      <c r="Z30" s="134" t="n">
        <v>6</v>
      </c>
      <c r="AA30" s="134" t="n">
        <v>5</v>
      </c>
      <c r="AB30" s="134" t="n">
        <v>6</v>
      </c>
      <c r="AC30" s="134" t="n">
        <v>88</v>
      </c>
      <c r="AD30" s="134" t="n">
        <v>86</v>
      </c>
      <c r="AE30" s="134" t="n">
        <v>7</v>
      </c>
      <c r="AF30" s="134" t="n">
        <v>6</v>
      </c>
      <c r="AG30" s="134" t="n">
        <v>6</v>
      </c>
      <c r="AH30" s="135" t="s">
        <v>1351</v>
      </c>
      <c r="AI30" s="134" t="n">
        <v>8</v>
      </c>
      <c r="AJ30" s="134" t="n">
        <v>8</v>
      </c>
      <c r="AK30" s="134" t="n">
        <v>8</v>
      </c>
      <c r="AL30" s="134" t="n">
        <v>8</v>
      </c>
    </row>
    <row r="31" customFormat="false" ht="49.5" hidden="false" customHeight="true" outlineLevel="0" collapsed="false">
      <c r="A31" s="133" t="s">
        <v>582</v>
      </c>
      <c r="B31" s="135" t="s">
        <v>1352</v>
      </c>
      <c r="C31" s="135" t="s">
        <v>1353</v>
      </c>
      <c r="D31" s="134" t="n">
        <v>5</v>
      </c>
      <c r="E31" s="134" t="n">
        <v>380</v>
      </c>
      <c r="F31" s="134" t="n">
        <v>430</v>
      </c>
      <c r="G31" s="134" t="n">
        <v>550</v>
      </c>
      <c r="H31" s="135" t="s">
        <v>1354</v>
      </c>
      <c r="I31" s="135" t="s">
        <v>1355</v>
      </c>
      <c r="J31" s="134" t="n">
        <v>5</v>
      </c>
      <c r="K31" s="135" t="s">
        <v>1356</v>
      </c>
      <c r="L31" s="135" t="s">
        <v>1357</v>
      </c>
      <c r="M31" s="134" t="n">
        <v>7</v>
      </c>
      <c r="N31" s="134" t="n">
        <v>3</v>
      </c>
      <c r="O31" s="134" t="n">
        <v>6</v>
      </c>
      <c r="P31" s="135" t="s">
        <v>1358</v>
      </c>
      <c r="Q31" s="134" t="n">
        <v>50</v>
      </c>
      <c r="R31" s="134" t="n">
        <v>45</v>
      </c>
      <c r="S31" s="134" t="n">
        <v>6</v>
      </c>
      <c r="T31" s="134" t="n">
        <v>5</v>
      </c>
      <c r="U31" s="134" t="n">
        <v>6</v>
      </c>
      <c r="V31" s="134" t="n">
        <v>4</v>
      </c>
      <c r="W31" s="134" t="n">
        <v>30</v>
      </c>
      <c r="X31" s="134" t="n">
        <v>8</v>
      </c>
      <c r="Y31" s="135" t="s">
        <v>1359</v>
      </c>
      <c r="Z31" s="134" t="n">
        <v>1</v>
      </c>
      <c r="AA31" s="134" t="n">
        <v>5</v>
      </c>
      <c r="AB31" s="134" t="n">
        <v>7</v>
      </c>
      <c r="AC31" s="134" t="n">
        <v>73</v>
      </c>
      <c r="AD31" s="134" t="n">
        <v>68</v>
      </c>
      <c r="AE31" s="134" t="n">
        <v>6</v>
      </c>
      <c r="AF31" s="134" t="n">
        <v>6</v>
      </c>
      <c r="AG31" s="134" t="n">
        <v>7</v>
      </c>
      <c r="AH31" s="134" t="s">
        <v>1360</v>
      </c>
      <c r="AI31" s="134" t="n">
        <v>5</v>
      </c>
      <c r="AJ31" s="134" t="n">
        <v>4</v>
      </c>
      <c r="AK31" s="134" t="n">
        <v>3</v>
      </c>
      <c r="AL31" s="134" t="n">
        <v>6</v>
      </c>
    </row>
    <row r="32" customFormat="false" ht="49.5" hidden="false" customHeight="true" outlineLevel="0" collapsed="false">
      <c r="A32" s="133" t="s">
        <v>589</v>
      </c>
      <c r="B32" s="134" t="s">
        <v>1361</v>
      </c>
      <c r="C32" s="135" t="s">
        <v>1362</v>
      </c>
      <c r="D32" s="134" t="n">
        <v>6</v>
      </c>
      <c r="E32" s="134" t="n">
        <v>320</v>
      </c>
      <c r="F32" s="134" t="n">
        <v>370</v>
      </c>
      <c r="G32" s="134" t="n">
        <v>450</v>
      </c>
      <c r="H32" s="135" t="s">
        <v>1363</v>
      </c>
      <c r="I32" s="135" t="s">
        <v>1364</v>
      </c>
      <c r="J32" s="134" t="n">
        <v>6</v>
      </c>
      <c r="K32" s="135" t="s">
        <v>1365</v>
      </c>
      <c r="L32" s="135" t="s">
        <v>1366</v>
      </c>
      <c r="M32" s="134" t="n">
        <v>5</v>
      </c>
      <c r="N32" s="134" t="n">
        <v>8</v>
      </c>
      <c r="O32" s="134" t="n">
        <v>3</v>
      </c>
      <c r="P32" s="135" t="s">
        <v>1367</v>
      </c>
      <c r="Q32" s="134" t="n">
        <v>42</v>
      </c>
      <c r="R32" s="134" t="n">
        <v>60</v>
      </c>
      <c r="S32" s="134" t="n">
        <v>7</v>
      </c>
      <c r="T32" s="134" t="n">
        <v>5</v>
      </c>
      <c r="U32" s="134" t="n">
        <v>4</v>
      </c>
      <c r="V32" s="134" t="n">
        <v>3</v>
      </c>
      <c r="W32" s="134" t="n">
        <v>40</v>
      </c>
      <c r="X32" s="134" t="n">
        <v>9</v>
      </c>
      <c r="Y32" s="135" t="s">
        <v>1368</v>
      </c>
      <c r="Z32" s="134" t="n">
        <v>4</v>
      </c>
      <c r="AA32" s="134" t="n">
        <v>5</v>
      </c>
      <c r="AB32" s="134" t="n">
        <v>6</v>
      </c>
      <c r="AC32" s="134" t="n">
        <v>55</v>
      </c>
      <c r="AD32" s="134" t="n">
        <v>48</v>
      </c>
      <c r="AE32" s="134" t="n">
        <v>7</v>
      </c>
      <c r="AF32" s="134" t="n">
        <v>10</v>
      </c>
      <c r="AG32" s="134" t="n">
        <v>8</v>
      </c>
      <c r="AH32" s="134" t="s">
        <v>1369</v>
      </c>
      <c r="AI32" s="134" t="n">
        <v>4</v>
      </c>
      <c r="AJ32" s="134" t="n">
        <v>2</v>
      </c>
      <c r="AK32" s="134" t="n">
        <v>2</v>
      </c>
      <c r="AL32" s="134" t="n">
        <v>7</v>
      </c>
    </row>
    <row r="33" customFormat="false" ht="49.5" hidden="false" customHeight="true" outlineLevel="0" collapsed="false">
      <c r="A33" s="133" t="s">
        <v>581</v>
      </c>
      <c r="B33" s="134" t="n">
        <v>4</v>
      </c>
      <c r="C33" s="135" t="s">
        <v>1370</v>
      </c>
      <c r="D33" s="134" t="n">
        <v>7</v>
      </c>
      <c r="E33" s="134" t="n">
        <v>270</v>
      </c>
      <c r="F33" s="134" t="n">
        <v>320</v>
      </c>
      <c r="G33" s="134" t="n">
        <v>450</v>
      </c>
      <c r="H33" s="135" t="s">
        <v>1371</v>
      </c>
      <c r="I33" s="135" t="s">
        <v>1372</v>
      </c>
      <c r="J33" s="134" t="n">
        <v>8</v>
      </c>
      <c r="K33" s="135" t="s">
        <v>1373</v>
      </c>
      <c r="L33" s="135" t="s">
        <v>1374</v>
      </c>
      <c r="M33" s="134" t="n">
        <v>1</v>
      </c>
      <c r="N33" s="134" t="n">
        <v>7</v>
      </c>
      <c r="O33" s="134" t="n">
        <v>4</v>
      </c>
      <c r="P33" s="135" t="s">
        <v>1375</v>
      </c>
      <c r="Q33" s="134" t="n">
        <v>45</v>
      </c>
      <c r="R33" s="134" t="n">
        <v>48</v>
      </c>
      <c r="S33" s="134" t="n">
        <v>9</v>
      </c>
      <c r="T33" s="134" t="n">
        <v>5</v>
      </c>
      <c r="U33" s="134" t="n">
        <v>9</v>
      </c>
      <c r="V33" s="134" t="n">
        <v>7</v>
      </c>
      <c r="W33" s="134" t="n">
        <v>12</v>
      </c>
      <c r="X33" s="134" t="n">
        <v>9</v>
      </c>
      <c r="Y33" s="135" t="s">
        <v>1376</v>
      </c>
      <c r="Z33" s="134" t="n">
        <v>9</v>
      </c>
      <c r="AA33" s="134" t="n">
        <v>5</v>
      </c>
      <c r="AB33" s="134" t="n">
        <v>2</v>
      </c>
      <c r="AC33" s="134" t="n">
        <v>75</v>
      </c>
      <c r="AD33" s="134" t="n">
        <v>72</v>
      </c>
      <c r="AE33" s="134" t="n">
        <v>7</v>
      </c>
      <c r="AF33" s="134" t="n">
        <v>6</v>
      </c>
      <c r="AG33" s="134" t="n">
        <v>8</v>
      </c>
      <c r="AH33" s="135" t="s">
        <v>1377</v>
      </c>
      <c r="AI33" s="134" t="n">
        <v>9</v>
      </c>
      <c r="AJ33" s="134" t="n">
        <v>3</v>
      </c>
      <c r="AK33" s="134" t="n">
        <v>6</v>
      </c>
      <c r="AL33" s="134" t="n">
        <v>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2"/>
    <col collapsed="false" customWidth="true" hidden="false" outlineLevel="0" max="7" min="5" style="1" width="14"/>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2" min="12" style="1" width="14"/>
    <col collapsed="false" customWidth="true" hidden="false" outlineLevel="0" max="15" min="13" style="1" width="12"/>
    <col collapsed="false" customWidth="true" hidden="false" outlineLevel="0" max="16" min="16" style="1" width="30"/>
    <col collapsed="false" customWidth="true" hidden="false" outlineLevel="0" max="18" min="17" style="1" width="14"/>
    <col collapsed="false" customWidth="true" hidden="false" outlineLevel="0" max="19" min="19" style="1" width="12"/>
    <col collapsed="false" customWidth="true" hidden="false" outlineLevel="0" max="20" min="20" style="1" width="14"/>
    <col collapsed="false" customWidth="true" hidden="false" outlineLevel="0" max="22" min="21" style="1" width="12"/>
    <col collapsed="false" customWidth="true" hidden="false" outlineLevel="0" max="23" min="23" style="1" width="14"/>
    <col collapsed="false" customWidth="true" hidden="false" outlineLevel="0" max="24" min="24" style="1" width="12"/>
    <col collapsed="false" customWidth="true" hidden="false" outlineLevel="0" max="25" min="25" style="1" width="30"/>
    <col collapsed="false" customWidth="true" hidden="false" outlineLevel="0" max="28" min="26" style="1" width="12"/>
    <col collapsed="false" customWidth="true" hidden="false" outlineLevel="0" max="30" min="29" style="1" width="14"/>
    <col collapsed="false" customWidth="true" hidden="false" outlineLevel="0" max="33" min="31" style="1" width="12"/>
    <col collapsed="false" customWidth="true" hidden="false" outlineLevel="0" max="34" min="34" style="1" width="30"/>
    <col collapsed="false" customWidth="true" hidden="false" outlineLevel="0" max="38" min="35" style="1" width="12"/>
  </cols>
  <sheetData>
    <row r="1" customFormat="false" ht="17.25" hidden="false" customHeight="true" outlineLevel="0" collapsed="false">
      <c r="A1" s="127" t="s">
        <v>1378</v>
      </c>
      <c r="B1" s="127"/>
      <c r="C1" s="127"/>
      <c r="D1" s="127"/>
      <c r="E1" s="127"/>
    </row>
    <row r="2" customFormat="false" ht="15" hidden="false" customHeight="true" outlineLevel="0" collapsed="false">
      <c r="B2" s="128" t="s">
        <v>1106</v>
      </c>
      <c r="C2" s="128" t="s">
        <v>1106</v>
      </c>
      <c r="D2" s="128" t="s">
        <v>1106</v>
      </c>
      <c r="E2" s="128" t="s">
        <v>1107</v>
      </c>
      <c r="F2" s="128" t="s">
        <v>1107</v>
      </c>
      <c r="G2" s="128" t="s">
        <v>1107</v>
      </c>
      <c r="H2" s="128" t="s">
        <v>1107</v>
      </c>
      <c r="I2" s="128" t="s">
        <v>1107</v>
      </c>
      <c r="J2" s="128" t="s">
        <v>1107</v>
      </c>
      <c r="K2" s="128" t="s">
        <v>1108</v>
      </c>
      <c r="L2" s="128" t="s">
        <v>1108</v>
      </c>
      <c r="M2" s="128" t="s">
        <v>1108</v>
      </c>
      <c r="N2" s="128" t="s">
        <v>1108</v>
      </c>
      <c r="O2" s="128" t="s">
        <v>1108</v>
      </c>
      <c r="P2" s="128" t="s">
        <v>1108</v>
      </c>
      <c r="Q2" s="128" t="s">
        <v>1109</v>
      </c>
      <c r="R2" s="128" t="s">
        <v>1109</v>
      </c>
      <c r="S2" s="128" t="s">
        <v>1109</v>
      </c>
      <c r="T2" s="128" t="s">
        <v>1109</v>
      </c>
      <c r="U2" s="128" t="s">
        <v>1109</v>
      </c>
      <c r="V2" s="128" t="s">
        <v>1109</v>
      </c>
      <c r="W2" s="128" t="s">
        <v>1109</v>
      </c>
      <c r="X2" s="128" t="s">
        <v>1109</v>
      </c>
      <c r="Y2" s="128" t="s">
        <v>1110</v>
      </c>
      <c r="Z2" s="128" t="s">
        <v>1110</v>
      </c>
      <c r="AA2" s="128" t="s">
        <v>1111</v>
      </c>
      <c r="AB2" s="128" t="s">
        <v>1111</v>
      </c>
      <c r="AC2" s="128" t="s">
        <v>1112</v>
      </c>
      <c r="AD2" s="128" t="s">
        <v>1112</v>
      </c>
      <c r="AE2" s="128" t="s">
        <v>1112</v>
      </c>
      <c r="AF2" s="128" t="s">
        <v>1112</v>
      </c>
      <c r="AG2" s="128" t="s">
        <v>1112</v>
      </c>
      <c r="AH2" s="128" t="s">
        <v>1113</v>
      </c>
      <c r="AI2" s="128" t="s">
        <v>1114</v>
      </c>
      <c r="AJ2" s="128" t="s">
        <v>1114</v>
      </c>
      <c r="AK2" s="128" t="s">
        <v>1114</v>
      </c>
      <c r="AL2" s="128" t="s">
        <v>1114</v>
      </c>
    </row>
    <row r="3" customFormat="false" ht="45" hidden="false" customHeight="true" outlineLevel="0" collapsed="false">
      <c r="A3" s="129" t="s">
        <v>760</v>
      </c>
      <c r="B3" s="130" t="s">
        <v>1115</v>
      </c>
      <c r="C3" s="130" t="s">
        <v>1116</v>
      </c>
      <c r="D3" s="130" t="s">
        <v>1117</v>
      </c>
      <c r="E3" s="130" t="s">
        <v>1118</v>
      </c>
      <c r="F3" s="130" t="s">
        <v>1119</v>
      </c>
      <c r="G3" s="130" t="s">
        <v>1120</v>
      </c>
      <c r="H3" s="130" t="s">
        <v>1121</v>
      </c>
      <c r="I3" s="130" t="s">
        <v>1122</v>
      </c>
      <c r="J3" s="130" t="s">
        <v>1123</v>
      </c>
      <c r="K3" s="130" t="s">
        <v>1124</v>
      </c>
      <c r="L3" s="130" t="s">
        <v>1125</v>
      </c>
      <c r="M3" s="130" t="s">
        <v>1126</v>
      </c>
      <c r="N3" s="130" t="s">
        <v>1127</v>
      </c>
      <c r="O3" s="130" t="s">
        <v>1128</v>
      </c>
      <c r="P3" s="130" t="s">
        <v>1129</v>
      </c>
      <c r="Q3" s="130" t="s">
        <v>1130</v>
      </c>
      <c r="R3" s="130" t="s">
        <v>1131</v>
      </c>
      <c r="S3" s="130" t="s">
        <v>1132</v>
      </c>
      <c r="T3" s="130" t="s">
        <v>1133</v>
      </c>
      <c r="U3" s="130" t="s">
        <v>1134</v>
      </c>
      <c r="V3" s="130" t="s">
        <v>1135</v>
      </c>
      <c r="W3" s="130" t="s">
        <v>1136</v>
      </c>
      <c r="X3" s="130" t="s">
        <v>1137</v>
      </c>
      <c r="Y3" s="130" t="s">
        <v>1138</v>
      </c>
      <c r="Z3" s="130" t="s">
        <v>1139</v>
      </c>
      <c r="AA3" s="130" t="s">
        <v>1140</v>
      </c>
      <c r="AB3" s="130" t="s">
        <v>1141</v>
      </c>
      <c r="AC3" s="130" t="s">
        <v>1142</v>
      </c>
      <c r="AD3" s="130" t="s">
        <v>1143</v>
      </c>
      <c r="AE3" s="130" t="s">
        <v>1144</v>
      </c>
      <c r="AF3" s="130" t="s">
        <v>1145</v>
      </c>
      <c r="AG3" s="130" t="s">
        <v>1146</v>
      </c>
      <c r="AH3" s="130" t="s">
        <v>1147</v>
      </c>
      <c r="AI3" s="130" t="s">
        <v>1148</v>
      </c>
      <c r="AJ3" s="130" t="s">
        <v>1149</v>
      </c>
      <c r="AK3" s="130" t="s">
        <v>1150</v>
      </c>
      <c r="AL3" s="130" t="s">
        <v>1151</v>
      </c>
    </row>
    <row r="4" customFormat="false" ht="15" hidden="false" customHeight="true" outlineLevel="0" collapsed="false">
      <c r="A4" s="131" t="s">
        <v>1152</v>
      </c>
      <c r="B4" s="132" t="s">
        <v>19</v>
      </c>
      <c r="C4" s="132" t="s">
        <v>19</v>
      </c>
      <c r="D4" s="132" t="s">
        <v>19</v>
      </c>
      <c r="E4" s="132" t="s">
        <v>19</v>
      </c>
      <c r="F4" s="132" t="s">
        <v>19</v>
      </c>
      <c r="G4" s="132" t="s">
        <v>19</v>
      </c>
      <c r="H4" s="132" t="s">
        <v>12</v>
      </c>
      <c r="I4" s="132" t="s">
        <v>12</v>
      </c>
      <c r="J4" s="132" t="s">
        <v>19</v>
      </c>
      <c r="K4" s="132" t="s">
        <v>12</v>
      </c>
      <c r="L4" s="132" t="s">
        <v>12</v>
      </c>
      <c r="M4" s="132" t="s">
        <v>19</v>
      </c>
      <c r="N4" s="132" t="s">
        <v>19</v>
      </c>
      <c r="O4" s="132" t="s">
        <v>19</v>
      </c>
      <c r="P4" s="132" t="s">
        <v>12</v>
      </c>
      <c r="Q4" s="132" t="s">
        <v>19</v>
      </c>
      <c r="R4" s="132" t="s">
        <v>19</v>
      </c>
      <c r="S4" s="132" t="s">
        <v>19</v>
      </c>
      <c r="T4" s="132" t="s">
        <v>12</v>
      </c>
      <c r="U4" s="132" t="s">
        <v>19</v>
      </c>
      <c r="V4" s="132" t="s">
        <v>19</v>
      </c>
      <c r="W4" s="132" t="s">
        <v>19</v>
      </c>
      <c r="X4" s="132" t="s">
        <v>19</v>
      </c>
      <c r="Y4" s="132" t="s">
        <v>12</v>
      </c>
      <c r="Z4" s="132" t="s">
        <v>12</v>
      </c>
      <c r="AA4" s="132" t="s">
        <v>19</v>
      </c>
      <c r="AB4" s="132" t="s">
        <v>19</v>
      </c>
      <c r="AC4" s="132" t="s">
        <v>19</v>
      </c>
      <c r="AD4" s="132" t="s">
        <v>19</v>
      </c>
      <c r="AE4" s="132" t="s">
        <v>19</v>
      </c>
      <c r="AF4" s="132" t="s">
        <v>19</v>
      </c>
      <c r="AG4" s="132" t="s">
        <v>19</v>
      </c>
      <c r="AH4" s="132" t="s">
        <v>12</v>
      </c>
      <c r="AI4" s="132" t="s">
        <v>19</v>
      </c>
      <c r="AJ4" s="132" t="s">
        <v>19</v>
      </c>
      <c r="AK4" s="132" t="s">
        <v>19</v>
      </c>
      <c r="AL4" s="132" t="s">
        <v>19</v>
      </c>
    </row>
    <row r="5" customFormat="false" ht="49.5" hidden="false" customHeight="true" outlineLevel="0" collapsed="false">
      <c r="A5" s="133" t="s">
        <v>676</v>
      </c>
      <c r="B5" s="135" t="s">
        <v>1379</v>
      </c>
      <c r="C5" s="135" t="s">
        <v>1380</v>
      </c>
      <c r="D5" s="134" t="n">
        <v>2</v>
      </c>
      <c r="E5" s="134" t="n">
        <v>350</v>
      </c>
      <c r="F5" s="134" t="n">
        <v>480</v>
      </c>
      <c r="G5" s="134" t="n">
        <v>750</v>
      </c>
      <c r="H5" s="135" t="s">
        <v>1381</v>
      </c>
      <c r="I5" s="135" t="s">
        <v>1382</v>
      </c>
      <c r="J5" s="134" t="n">
        <v>3</v>
      </c>
      <c r="K5" s="135" t="s">
        <v>1383</v>
      </c>
      <c r="L5" s="134" t="s">
        <v>1165</v>
      </c>
      <c r="M5" s="134" t="n">
        <v>9</v>
      </c>
      <c r="N5" s="134" t="n">
        <v>2</v>
      </c>
      <c r="O5" s="134" t="n">
        <v>4</v>
      </c>
      <c r="P5" s="135" t="s">
        <v>1384</v>
      </c>
      <c r="Q5" s="134" t="n">
        <v>55</v>
      </c>
      <c r="R5" s="134" t="n">
        <v>38</v>
      </c>
      <c r="S5" s="134" t="n">
        <v>3</v>
      </c>
      <c r="T5" s="134" t="n">
        <v>4</v>
      </c>
      <c r="U5" s="134" t="n">
        <v>5</v>
      </c>
      <c r="V5" s="134" t="n">
        <v>3</v>
      </c>
      <c r="W5" s="134" t="n">
        <v>40</v>
      </c>
      <c r="X5" s="134" t="n">
        <v>7</v>
      </c>
      <c r="Y5" s="135" t="s">
        <v>1385</v>
      </c>
      <c r="Z5" s="134" t="n">
        <v>1</v>
      </c>
      <c r="AA5" s="134" t="n">
        <v>9</v>
      </c>
      <c r="AB5" s="134" t="n">
        <v>10</v>
      </c>
      <c r="AC5" s="134" t="n">
        <v>80</v>
      </c>
      <c r="AD5" s="134" t="n">
        <v>76</v>
      </c>
      <c r="AE5" s="134" t="n">
        <v>8</v>
      </c>
      <c r="AF5" s="134" t="n">
        <v>9</v>
      </c>
      <c r="AG5" s="134" t="n">
        <v>9</v>
      </c>
      <c r="AH5" s="134" t="s">
        <v>1386</v>
      </c>
      <c r="AI5" s="134" t="n">
        <v>4</v>
      </c>
      <c r="AJ5" s="134" t="n">
        <v>4</v>
      </c>
      <c r="AK5" s="134" t="n">
        <v>3</v>
      </c>
      <c r="AL5" s="134" t="n">
        <v>3</v>
      </c>
    </row>
    <row r="6" customFormat="false" ht="49.5" hidden="false" customHeight="true" outlineLevel="0" collapsed="false">
      <c r="A6" s="133" t="s">
        <v>633</v>
      </c>
      <c r="B6" s="134" t="n">
        <v>0</v>
      </c>
      <c r="C6" s="135" t="s">
        <v>1387</v>
      </c>
      <c r="D6" s="134" t="n">
        <v>6</v>
      </c>
      <c r="E6" s="134" t="n">
        <v>250</v>
      </c>
      <c r="F6" s="134" t="n">
        <v>350</v>
      </c>
      <c r="G6" s="134" t="n">
        <v>550</v>
      </c>
      <c r="H6" s="135" t="s">
        <v>1388</v>
      </c>
      <c r="I6" s="135" t="s">
        <v>1389</v>
      </c>
      <c r="J6" s="134" t="n">
        <v>7</v>
      </c>
      <c r="K6" s="135" t="s">
        <v>1390</v>
      </c>
      <c r="L6" s="135" t="s">
        <v>1391</v>
      </c>
      <c r="M6" s="134" t="n">
        <v>9</v>
      </c>
      <c r="N6" s="134" t="n">
        <v>9</v>
      </c>
      <c r="O6" s="134" t="n">
        <v>6</v>
      </c>
      <c r="P6" s="135" t="s">
        <v>1392</v>
      </c>
      <c r="Q6" s="134" t="n">
        <v>38</v>
      </c>
      <c r="R6" s="134" t="n">
        <v>25</v>
      </c>
      <c r="S6" s="134" t="n">
        <v>8</v>
      </c>
      <c r="T6" s="134" t="n">
        <v>6</v>
      </c>
      <c r="U6" s="134" t="n">
        <v>7</v>
      </c>
      <c r="V6" s="134" t="n">
        <v>5</v>
      </c>
      <c r="W6" s="134" t="n">
        <v>10</v>
      </c>
      <c r="X6" s="134" t="n">
        <v>8</v>
      </c>
      <c r="Y6" s="135" t="s">
        <v>1393</v>
      </c>
      <c r="Z6" s="134" t="n">
        <v>1</v>
      </c>
      <c r="AA6" s="134" t="n">
        <v>8</v>
      </c>
      <c r="AB6" s="134" t="n">
        <v>9</v>
      </c>
      <c r="AC6" s="134" t="n">
        <v>78</v>
      </c>
      <c r="AD6" s="134" t="n">
        <v>75</v>
      </c>
      <c r="AE6" s="134" t="n">
        <v>5</v>
      </c>
      <c r="AF6" s="134" t="n">
        <v>3</v>
      </c>
      <c r="AG6" s="134" t="n">
        <v>6</v>
      </c>
      <c r="AH6" s="134" t="s">
        <v>1231</v>
      </c>
      <c r="AI6" s="134" t="n">
        <v>4</v>
      </c>
      <c r="AJ6" s="134" t="n">
        <v>7</v>
      </c>
      <c r="AK6" s="134" t="n">
        <v>5</v>
      </c>
      <c r="AL6" s="134" t="n">
        <v>3</v>
      </c>
    </row>
    <row r="7" customFormat="false" ht="49.5" hidden="false" customHeight="true" outlineLevel="0" collapsed="false">
      <c r="A7" s="133" t="s">
        <v>631</v>
      </c>
      <c r="B7" s="134" t="n">
        <v>0</v>
      </c>
      <c r="C7" s="135" t="s">
        <v>1394</v>
      </c>
      <c r="D7" s="134" t="n">
        <v>6</v>
      </c>
      <c r="E7" s="134" t="n">
        <v>220</v>
      </c>
      <c r="F7" s="134" t="n">
        <v>320</v>
      </c>
      <c r="G7" s="134" t="n">
        <v>500</v>
      </c>
      <c r="H7" s="135" t="s">
        <v>1395</v>
      </c>
      <c r="I7" s="135" t="s">
        <v>1396</v>
      </c>
      <c r="J7" s="134" t="n">
        <v>7</v>
      </c>
      <c r="K7" s="135" t="s">
        <v>1397</v>
      </c>
      <c r="L7" s="134" t="s">
        <v>1157</v>
      </c>
      <c r="M7" s="134" t="n">
        <v>8</v>
      </c>
      <c r="N7" s="134" t="n">
        <v>9</v>
      </c>
      <c r="O7" s="134" t="n">
        <v>5</v>
      </c>
      <c r="P7" s="135" t="s">
        <v>1398</v>
      </c>
      <c r="Q7" s="134" t="n">
        <v>38</v>
      </c>
      <c r="R7" s="134" t="n">
        <v>22</v>
      </c>
      <c r="S7" s="134" t="n">
        <v>8</v>
      </c>
      <c r="T7" s="134" t="n">
        <v>6</v>
      </c>
      <c r="U7" s="134" t="n">
        <v>8</v>
      </c>
      <c r="V7" s="134" t="n">
        <v>6</v>
      </c>
      <c r="W7" s="134" t="n">
        <v>8</v>
      </c>
      <c r="X7" s="134" t="n">
        <v>8</v>
      </c>
      <c r="Y7" s="135" t="s">
        <v>1399</v>
      </c>
      <c r="Z7" s="134" t="n">
        <v>1</v>
      </c>
      <c r="AA7" s="134" t="n">
        <v>8</v>
      </c>
      <c r="AB7" s="134" t="n">
        <v>9</v>
      </c>
      <c r="AC7" s="134" t="n">
        <v>80</v>
      </c>
      <c r="AD7" s="134" t="n">
        <v>77</v>
      </c>
      <c r="AE7" s="134" t="n">
        <v>6</v>
      </c>
      <c r="AF7" s="134" t="n">
        <v>5</v>
      </c>
      <c r="AG7" s="134" t="n">
        <v>6</v>
      </c>
      <c r="AH7" s="134" t="s">
        <v>1231</v>
      </c>
      <c r="AI7" s="134" t="n">
        <v>5</v>
      </c>
      <c r="AJ7" s="134" t="n">
        <v>7</v>
      </c>
      <c r="AK7" s="134" t="n">
        <v>6</v>
      </c>
      <c r="AL7" s="134" t="n">
        <v>3</v>
      </c>
    </row>
    <row r="8" customFormat="false" ht="49.5" hidden="false" customHeight="true" outlineLevel="0" collapsed="false">
      <c r="A8" s="133" t="s">
        <v>632</v>
      </c>
      <c r="B8" s="134" t="n">
        <v>0</v>
      </c>
      <c r="C8" s="135" t="s">
        <v>1400</v>
      </c>
      <c r="D8" s="134" t="n">
        <v>6</v>
      </c>
      <c r="E8" s="134" t="n">
        <v>200</v>
      </c>
      <c r="F8" s="134" t="n">
        <v>300</v>
      </c>
      <c r="G8" s="134" t="n">
        <v>450</v>
      </c>
      <c r="H8" s="135" t="s">
        <v>1401</v>
      </c>
      <c r="I8" s="135" t="s">
        <v>1402</v>
      </c>
      <c r="J8" s="134" t="n">
        <v>7</v>
      </c>
      <c r="K8" s="135" t="s">
        <v>1403</v>
      </c>
      <c r="L8" s="134" t="s">
        <v>1404</v>
      </c>
      <c r="M8" s="134" t="n">
        <v>7</v>
      </c>
      <c r="N8" s="134" t="n">
        <v>10</v>
      </c>
      <c r="O8" s="134" t="n">
        <v>5</v>
      </c>
      <c r="P8" s="135" t="s">
        <v>1405</v>
      </c>
      <c r="Q8" s="134" t="n">
        <v>40</v>
      </c>
      <c r="R8" s="134" t="n">
        <v>20</v>
      </c>
      <c r="S8" s="134" t="n">
        <v>8</v>
      </c>
      <c r="T8" s="134" t="n">
        <v>6</v>
      </c>
      <c r="U8" s="134" t="n">
        <v>8</v>
      </c>
      <c r="V8" s="134" t="n">
        <v>7</v>
      </c>
      <c r="W8" s="134" t="n">
        <v>6</v>
      </c>
      <c r="X8" s="134" t="n">
        <v>7</v>
      </c>
      <c r="Y8" s="135" t="s">
        <v>1406</v>
      </c>
      <c r="Z8" s="134" t="n">
        <v>2</v>
      </c>
      <c r="AA8" s="134" t="n">
        <v>7</v>
      </c>
      <c r="AB8" s="134" t="n">
        <v>9</v>
      </c>
      <c r="AC8" s="134" t="n">
        <v>78</v>
      </c>
      <c r="AD8" s="134" t="n">
        <v>75</v>
      </c>
      <c r="AE8" s="134" t="n">
        <v>7</v>
      </c>
      <c r="AF8" s="134" t="n">
        <v>6</v>
      </c>
      <c r="AG8" s="134" t="n">
        <v>7</v>
      </c>
      <c r="AH8" s="134" t="s">
        <v>1260</v>
      </c>
      <c r="AI8" s="134" t="n">
        <v>5</v>
      </c>
      <c r="AJ8" s="134" t="n">
        <v>8</v>
      </c>
      <c r="AK8" s="134" t="n">
        <v>7</v>
      </c>
      <c r="AL8" s="134" t="n">
        <v>3</v>
      </c>
    </row>
    <row r="9" customFormat="false" ht="49.5" hidden="false" customHeight="true" outlineLevel="0" collapsed="false">
      <c r="A9" s="133" t="s">
        <v>636</v>
      </c>
      <c r="B9" s="134" t="n">
        <v>0</v>
      </c>
      <c r="C9" s="135" t="s">
        <v>1407</v>
      </c>
      <c r="D9" s="134" t="n">
        <v>2</v>
      </c>
      <c r="E9" s="134" t="n">
        <v>200</v>
      </c>
      <c r="F9" s="134" t="n">
        <v>350</v>
      </c>
      <c r="G9" s="134" t="n">
        <v>600</v>
      </c>
      <c r="H9" s="135" t="s">
        <v>1408</v>
      </c>
      <c r="I9" s="135" t="s">
        <v>1409</v>
      </c>
      <c r="J9" s="134" t="n">
        <v>7</v>
      </c>
      <c r="K9" s="135" t="s">
        <v>1410</v>
      </c>
      <c r="L9" s="134" t="s">
        <v>1302</v>
      </c>
      <c r="M9" s="134" t="n">
        <v>5</v>
      </c>
      <c r="N9" s="134" t="n">
        <v>10</v>
      </c>
      <c r="O9" s="134" t="n">
        <v>5</v>
      </c>
      <c r="P9" s="135" t="s">
        <v>1411</v>
      </c>
      <c r="Q9" s="134" t="n">
        <v>38</v>
      </c>
      <c r="R9" s="134" t="n">
        <v>20</v>
      </c>
      <c r="S9" s="134" t="n">
        <v>8</v>
      </c>
      <c r="T9" s="134" t="n">
        <v>6</v>
      </c>
      <c r="U9" s="134" t="n">
        <v>9</v>
      </c>
      <c r="V9" s="134" t="n">
        <v>8</v>
      </c>
      <c r="W9" s="134" t="n">
        <v>5</v>
      </c>
      <c r="X9" s="134" t="n">
        <v>7</v>
      </c>
      <c r="Y9" s="135" t="s">
        <v>1412</v>
      </c>
      <c r="Z9" s="134" t="n">
        <v>4</v>
      </c>
      <c r="AA9" s="134" t="n">
        <v>5</v>
      </c>
      <c r="AB9" s="134" t="n">
        <v>6</v>
      </c>
      <c r="AC9" s="134" t="n">
        <v>85</v>
      </c>
      <c r="AD9" s="134" t="n">
        <v>83</v>
      </c>
      <c r="AE9" s="134" t="n">
        <v>5</v>
      </c>
      <c r="AF9" s="134" t="n">
        <v>3</v>
      </c>
      <c r="AG9" s="134" t="n">
        <v>6</v>
      </c>
      <c r="AH9" s="134" t="s">
        <v>1260</v>
      </c>
      <c r="AI9" s="134" t="n">
        <v>6</v>
      </c>
      <c r="AJ9" s="134" t="n">
        <v>8</v>
      </c>
      <c r="AK9" s="134" t="n">
        <v>8</v>
      </c>
      <c r="AL9" s="134" t="n">
        <v>5</v>
      </c>
    </row>
    <row r="10" customFormat="false" ht="49.5" hidden="false" customHeight="true" outlineLevel="0" collapsed="false">
      <c r="A10" s="133" t="s">
        <v>635</v>
      </c>
      <c r="B10" s="134" t="n">
        <v>0</v>
      </c>
      <c r="C10" s="135" t="s">
        <v>1413</v>
      </c>
      <c r="D10" s="134" t="n">
        <v>5</v>
      </c>
      <c r="E10" s="134" t="n">
        <v>220</v>
      </c>
      <c r="F10" s="134" t="n">
        <v>300</v>
      </c>
      <c r="G10" s="134" t="n">
        <v>450</v>
      </c>
      <c r="H10" s="135" t="s">
        <v>1414</v>
      </c>
      <c r="I10" s="135" t="s">
        <v>1415</v>
      </c>
      <c r="J10" s="134" t="n">
        <v>6</v>
      </c>
      <c r="K10" s="135" t="s">
        <v>1416</v>
      </c>
      <c r="L10" s="134" t="s">
        <v>1417</v>
      </c>
      <c r="M10" s="134" t="n">
        <v>7</v>
      </c>
      <c r="N10" s="134" t="n">
        <v>9</v>
      </c>
      <c r="O10" s="134" t="n">
        <v>5</v>
      </c>
      <c r="P10" s="135" t="s">
        <v>1418</v>
      </c>
      <c r="Q10" s="134" t="n">
        <v>40</v>
      </c>
      <c r="R10" s="134" t="n">
        <v>30</v>
      </c>
      <c r="S10" s="134" t="n">
        <v>7</v>
      </c>
      <c r="T10" s="134" t="n">
        <v>5</v>
      </c>
      <c r="U10" s="134" t="n">
        <v>7</v>
      </c>
      <c r="V10" s="134" t="n">
        <v>6</v>
      </c>
      <c r="W10" s="134" t="n">
        <v>10</v>
      </c>
      <c r="X10" s="134" t="n">
        <v>8</v>
      </c>
      <c r="Y10" s="135" t="s">
        <v>1419</v>
      </c>
      <c r="Z10" s="134" t="n">
        <v>2</v>
      </c>
      <c r="AA10" s="134" t="n">
        <v>8</v>
      </c>
      <c r="AB10" s="134" t="n">
        <v>8</v>
      </c>
      <c r="AC10" s="134" t="n">
        <v>78</v>
      </c>
      <c r="AD10" s="134" t="n">
        <v>74</v>
      </c>
      <c r="AE10" s="134" t="n">
        <v>5</v>
      </c>
      <c r="AF10" s="134" t="n">
        <v>5</v>
      </c>
      <c r="AG10" s="134" t="n">
        <v>8</v>
      </c>
      <c r="AH10" s="135" t="s">
        <v>1420</v>
      </c>
      <c r="AI10" s="134" t="n">
        <v>5</v>
      </c>
      <c r="AJ10" s="134" t="n">
        <v>5</v>
      </c>
      <c r="AK10" s="134" t="n">
        <v>6</v>
      </c>
      <c r="AL10" s="134" t="n">
        <v>5</v>
      </c>
    </row>
    <row r="11" customFormat="false" ht="49.5" hidden="false" customHeight="true" outlineLevel="0" collapsed="false">
      <c r="A11" s="133" t="s">
        <v>634</v>
      </c>
      <c r="B11" s="134" t="n">
        <v>0</v>
      </c>
      <c r="C11" s="135" t="s">
        <v>1421</v>
      </c>
      <c r="D11" s="134" t="n">
        <v>8</v>
      </c>
      <c r="E11" s="134" t="n">
        <v>160</v>
      </c>
      <c r="F11" s="134" t="n">
        <v>220</v>
      </c>
      <c r="G11" s="134" t="n">
        <v>400</v>
      </c>
      <c r="H11" s="135" t="s">
        <v>1422</v>
      </c>
      <c r="I11" s="135" t="s">
        <v>1423</v>
      </c>
      <c r="J11" s="134" t="n">
        <v>7</v>
      </c>
      <c r="K11" s="135" t="s">
        <v>1424</v>
      </c>
      <c r="L11" s="134" t="s">
        <v>1236</v>
      </c>
      <c r="M11" s="134" t="n">
        <v>6</v>
      </c>
      <c r="N11" s="134" t="n">
        <v>10</v>
      </c>
      <c r="O11" s="134" t="n">
        <v>4</v>
      </c>
      <c r="P11" s="135" t="s">
        <v>1425</v>
      </c>
      <c r="Q11" s="134" t="n">
        <v>36</v>
      </c>
      <c r="R11" s="134" t="n">
        <v>30</v>
      </c>
      <c r="S11" s="134" t="n">
        <v>8</v>
      </c>
      <c r="T11" s="134" t="n">
        <v>5</v>
      </c>
      <c r="U11" s="134" t="n">
        <v>8</v>
      </c>
      <c r="V11" s="134" t="n">
        <v>7</v>
      </c>
      <c r="W11" s="134" t="n">
        <v>5</v>
      </c>
      <c r="X11" s="134" t="n">
        <v>9</v>
      </c>
      <c r="Y11" s="135" t="s">
        <v>1426</v>
      </c>
      <c r="Z11" s="134" t="n">
        <v>2</v>
      </c>
      <c r="AA11" s="134" t="n">
        <v>7</v>
      </c>
      <c r="AB11" s="134" t="n">
        <v>8</v>
      </c>
      <c r="AC11" s="134" t="n">
        <v>72</v>
      </c>
      <c r="AD11" s="134" t="n">
        <v>68</v>
      </c>
      <c r="AE11" s="134" t="n">
        <v>5</v>
      </c>
      <c r="AF11" s="134" t="n">
        <v>6</v>
      </c>
      <c r="AG11" s="134" t="n">
        <v>6</v>
      </c>
      <c r="AH11" s="135" t="s">
        <v>1427</v>
      </c>
      <c r="AI11" s="134" t="n">
        <v>4</v>
      </c>
      <c r="AJ11" s="134" t="n">
        <v>6</v>
      </c>
      <c r="AK11" s="134" t="n">
        <v>7</v>
      </c>
      <c r="AL11" s="134" t="n">
        <v>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2"/>
    <col collapsed="false" customWidth="true" hidden="false" outlineLevel="0" max="7" min="5" style="1" width="14"/>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2" min="12" style="1" width="14"/>
    <col collapsed="false" customWidth="true" hidden="false" outlineLevel="0" max="15" min="13" style="1" width="12"/>
    <col collapsed="false" customWidth="true" hidden="false" outlineLevel="0" max="16" min="16" style="1" width="30"/>
    <col collapsed="false" customWidth="true" hidden="false" outlineLevel="0" max="18" min="17" style="1" width="14"/>
    <col collapsed="false" customWidth="true" hidden="false" outlineLevel="0" max="19" min="19" style="1" width="12"/>
    <col collapsed="false" customWidth="true" hidden="false" outlineLevel="0" max="20" min="20" style="1" width="14"/>
    <col collapsed="false" customWidth="true" hidden="false" outlineLevel="0" max="22" min="21" style="1" width="12"/>
    <col collapsed="false" customWidth="true" hidden="false" outlineLevel="0" max="23" min="23" style="1" width="14"/>
    <col collapsed="false" customWidth="true" hidden="false" outlineLevel="0" max="24" min="24" style="1" width="12"/>
    <col collapsed="false" customWidth="true" hidden="false" outlineLevel="0" max="25" min="25" style="1" width="30"/>
    <col collapsed="false" customWidth="true" hidden="false" outlineLevel="0" max="28" min="26" style="1" width="12"/>
    <col collapsed="false" customWidth="true" hidden="false" outlineLevel="0" max="30" min="29" style="1" width="14"/>
    <col collapsed="false" customWidth="true" hidden="false" outlineLevel="0" max="33" min="31" style="1" width="12"/>
    <col collapsed="false" customWidth="true" hidden="false" outlineLevel="0" max="34" min="34" style="1" width="30"/>
    <col collapsed="false" customWidth="true" hidden="false" outlineLevel="0" max="38" min="35" style="1" width="12"/>
  </cols>
  <sheetData>
    <row r="1" customFormat="false" ht="17.25" hidden="false" customHeight="true" outlineLevel="0" collapsed="false">
      <c r="A1" s="127" t="s">
        <v>1428</v>
      </c>
      <c r="B1" s="127"/>
      <c r="C1" s="127"/>
      <c r="D1" s="127"/>
      <c r="E1" s="127"/>
    </row>
    <row r="2" customFormat="false" ht="15" hidden="false" customHeight="true" outlineLevel="0" collapsed="false">
      <c r="B2" s="128" t="s">
        <v>1106</v>
      </c>
      <c r="C2" s="128" t="s">
        <v>1106</v>
      </c>
      <c r="D2" s="128" t="s">
        <v>1106</v>
      </c>
      <c r="E2" s="128" t="s">
        <v>1107</v>
      </c>
      <c r="F2" s="128" t="s">
        <v>1107</v>
      </c>
      <c r="G2" s="128" t="s">
        <v>1107</v>
      </c>
      <c r="H2" s="128" t="s">
        <v>1107</v>
      </c>
      <c r="I2" s="128" t="s">
        <v>1107</v>
      </c>
      <c r="J2" s="128" t="s">
        <v>1107</v>
      </c>
      <c r="K2" s="128" t="s">
        <v>1108</v>
      </c>
      <c r="L2" s="128" t="s">
        <v>1108</v>
      </c>
      <c r="M2" s="128" t="s">
        <v>1108</v>
      </c>
      <c r="N2" s="128" t="s">
        <v>1108</v>
      </c>
      <c r="O2" s="128" t="s">
        <v>1108</v>
      </c>
      <c r="P2" s="128" t="s">
        <v>1108</v>
      </c>
      <c r="Q2" s="128" t="s">
        <v>1109</v>
      </c>
      <c r="R2" s="128" t="s">
        <v>1109</v>
      </c>
      <c r="S2" s="128" t="s">
        <v>1109</v>
      </c>
      <c r="T2" s="128" t="s">
        <v>1109</v>
      </c>
      <c r="U2" s="128" t="s">
        <v>1109</v>
      </c>
      <c r="V2" s="128" t="s">
        <v>1109</v>
      </c>
      <c r="W2" s="128" t="s">
        <v>1109</v>
      </c>
      <c r="X2" s="128" t="s">
        <v>1109</v>
      </c>
      <c r="Y2" s="128" t="s">
        <v>1110</v>
      </c>
      <c r="Z2" s="128" t="s">
        <v>1110</v>
      </c>
      <c r="AA2" s="128" t="s">
        <v>1111</v>
      </c>
      <c r="AB2" s="128" t="s">
        <v>1111</v>
      </c>
      <c r="AC2" s="128" t="s">
        <v>1112</v>
      </c>
      <c r="AD2" s="128" t="s">
        <v>1112</v>
      </c>
      <c r="AE2" s="128" t="s">
        <v>1112</v>
      </c>
      <c r="AF2" s="128" t="s">
        <v>1112</v>
      </c>
      <c r="AG2" s="128" t="s">
        <v>1112</v>
      </c>
      <c r="AH2" s="128" t="s">
        <v>1113</v>
      </c>
      <c r="AI2" s="128" t="s">
        <v>1114</v>
      </c>
      <c r="AJ2" s="128" t="s">
        <v>1114</v>
      </c>
      <c r="AK2" s="128" t="s">
        <v>1114</v>
      </c>
      <c r="AL2" s="128" t="s">
        <v>1114</v>
      </c>
    </row>
    <row r="3" customFormat="false" ht="45" hidden="false" customHeight="true" outlineLevel="0" collapsed="false">
      <c r="A3" s="129" t="s">
        <v>760</v>
      </c>
      <c r="B3" s="130" t="s">
        <v>1115</v>
      </c>
      <c r="C3" s="130" t="s">
        <v>1116</v>
      </c>
      <c r="D3" s="130" t="s">
        <v>1117</v>
      </c>
      <c r="E3" s="130" t="s">
        <v>1118</v>
      </c>
      <c r="F3" s="130" t="s">
        <v>1119</v>
      </c>
      <c r="G3" s="130" t="s">
        <v>1120</v>
      </c>
      <c r="H3" s="130" t="s">
        <v>1121</v>
      </c>
      <c r="I3" s="130" t="s">
        <v>1122</v>
      </c>
      <c r="J3" s="130" t="s">
        <v>1123</v>
      </c>
      <c r="K3" s="130" t="s">
        <v>1124</v>
      </c>
      <c r="L3" s="130" t="s">
        <v>1125</v>
      </c>
      <c r="M3" s="130" t="s">
        <v>1126</v>
      </c>
      <c r="N3" s="130" t="s">
        <v>1127</v>
      </c>
      <c r="O3" s="130" t="s">
        <v>1128</v>
      </c>
      <c r="P3" s="130" t="s">
        <v>1129</v>
      </c>
      <c r="Q3" s="130" t="s">
        <v>1130</v>
      </c>
      <c r="R3" s="130" t="s">
        <v>1131</v>
      </c>
      <c r="S3" s="130" t="s">
        <v>1132</v>
      </c>
      <c r="T3" s="130" t="s">
        <v>1133</v>
      </c>
      <c r="U3" s="130" t="s">
        <v>1134</v>
      </c>
      <c r="V3" s="130" t="s">
        <v>1135</v>
      </c>
      <c r="W3" s="130" t="s">
        <v>1136</v>
      </c>
      <c r="X3" s="130" t="s">
        <v>1137</v>
      </c>
      <c r="Y3" s="130" t="s">
        <v>1138</v>
      </c>
      <c r="Z3" s="130" t="s">
        <v>1139</v>
      </c>
      <c r="AA3" s="130" t="s">
        <v>1140</v>
      </c>
      <c r="AB3" s="130" t="s">
        <v>1141</v>
      </c>
      <c r="AC3" s="130" t="s">
        <v>1142</v>
      </c>
      <c r="AD3" s="130" t="s">
        <v>1143</v>
      </c>
      <c r="AE3" s="130" t="s">
        <v>1144</v>
      </c>
      <c r="AF3" s="130" t="s">
        <v>1145</v>
      </c>
      <c r="AG3" s="130" t="s">
        <v>1146</v>
      </c>
      <c r="AH3" s="130" t="s">
        <v>1147</v>
      </c>
      <c r="AI3" s="130" t="s">
        <v>1148</v>
      </c>
      <c r="AJ3" s="130" t="s">
        <v>1149</v>
      </c>
      <c r="AK3" s="130" t="s">
        <v>1150</v>
      </c>
      <c r="AL3" s="130" t="s">
        <v>1151</v>
      </c>
    </row>
    <row r="4" customFormat="false" ht="15" hidden="false" customHeight="true" outlineLevel="0" collapsed="false">
      <c r="A4" s="131" t="s">
        <v>1152</v>
      </c>
      <c r="B4" s="132" t="s">
        <v>19</v>
      </c>
      <c r="C4" s="132" t="s">
        <v>19</v>
      </c>
      <c r="D4" s="132" t="s">
        <v>19</v>
      </c>
      <c r="E4" s="132" t="s">
        <v>19</v>
      </c>
      <c r="F4" s="132" t="s">
        <v>19</v>
      </c>
      <c r="G4" s="132" t="s">
        <v>19</v>
      </c>
      <c r="H4" s="132" t="s">
        <v>12</v>
      </c>
      <c r="I4" s="132" t="s">
        <v>12</v>
      </c>
      <c r="J4" s="132" t="s">
        <v>19</v>
      </c>
      <c r="K4" s="132" t="s">
        <v>12</v>
      </c>
      <c r="L4" s="132" t="s">
        <v>12</v>
      </c>
      <c r="M4" s="132" t="s">
        <v>19</v>
      </c>
      <c r="N4" s="132" t="s">
        <v>19</v>
      </c>
      <c r="O4" s="132" t="s">
        <v>19</v>
      </c>
      <c r="P4" s="132" t="s">
        <v>12</v>
      </c>
      <c r="Q4" s="132" t="s">
        <v>19</v>
      </c>
      <c r="R4" s="132" t="s">
        <v>19</v>
      </c>
      <c r="S4" s="132" t="s">
        <v>19</v>
      </c>
      <c r="T4" s="132" t="s">
        <v>12</v>
      </c>
      <c r="U4" s="132" t="s">
        <v>19</v>
      </c>
      <c r="V4" s="132" t="s">
        <v>19</v>
      </c>
      <c r="W4" s="132" t="s">
        <v>19</v>
      </c>
      <c r="X4" s="132" t="s">
        <v>19</v>
      </c>
      <c r="Y4" s="132" t="s">
        <v>12</v>
      </c>
      <c r="Z4" s="132" t="s">
        <v>12</v>
      </c>
      <c r="AA4" s="132" t="s">
        <v>19</v>
      </c>
      <c r="AB4" s="132" t="s">
        <v>19</v>
      </c>
      <c r="AC4" s="132" t="s">
        <v>19</v>
      </c>
      <c r="AD4" s="132" t="s">
        <v>19</v>
      </c>
      <c r="AE4" s="132" t="s">
        <v>19</v>
      </c>
      <c r="AF4" s="132" t="s">
        <v>19</v>
      </c>
      <c r="AG4" s="132" t="s">
        <v>19</v>
      </c>
      <c r="AH4" s="132" t="s">
        <v>12</v>
      </c>
      <c r="AI4" s="132" t="s">
        <v>19</v>
      </c>
      <c r="AJ4" s="132" t="s">
        <v>19</v>
      </c>
      <c r="AK4" s="132" t="s">
        <v>19</v>
      </c>
      <c r="AL4" s="132" t="s">
        <v>19</v>
      </c>
    </row>
    <row r="5" customFormat="false" ht="49.5" hidden="false" customHeight="true" outlineLevel="0" collapsed="false">
      <c r="A5" s="133" t="s">
        <v>667</v>
      </c>
      <c r="B5" s="134" t="n">
        <v>3</v>
      </c>
      <c r="C5" s="135" t="s">
        <v>1429</v>
      </c>
      <c r="D5" s="134" t="n">
        <v>7</v>
      </c>
      <c r="E5" s="134" t="n">
        <v>220</v>
      </c>
      <c r="F5" s="134" t="n">
        <v>320</v>
      </c>
      <c r="G5" s="134" t="n">
        <v>500</v>
      </c>
      <c r="H5" s="135" t="s">
        <v>1430</v>
      </c>
      <c r="I5" s="135" t="s">
        <v>1431</v>
      </c>
      <c r="J5" s="134" t="n">
        <v>4</v>
      </c>
      <c r="K5" s="135" t="s">
        <v>1432</v>
      </c>
      <c r="L5" s="134" t="s">
        <v>1433</v>
      </c>
      <c r="M5" s="134" t="n">
        <v>8</v>
      </c>
      <c r="N5" s="134" t="n">
        <v>5</v>
      </c>
      <c r="O5" s="134" t="n">
        <v>5</v>
      </c>
      <c r="P5" s="135" t="s">
        <v>1434</v>
      </c>
      <c r="Q5" s="134" t="n">
        <v>48</v>
      </c>
      <c r="R5" s="134" t="n">
        <v>35</v>
      </c>
      <c r="S5" s="134" t="n">
        <v>5</v>
      </c>
      <c r="T5" s="134" t="n">
        <v>4</v>
      </c>
      <c r="U5" s="134" t="n">
        <v>6</v>
      </c>
      <c r="V5" s="134" t="n">
        <v>4</v>
      </c>
      <c r="W5" s="134" t="n">
        <v>18</v>
      </c>
      <c r="X5" s="134" t="n">
        <v>7</v>
      </c>
      <c r="Y5" s="135" t="s">
        <v>1435</v>
      </c>
      <c r="Z5" s="134" t="n">
        <v>2</v>
      </c>
      <c r="AA5" s="134" t="n">
        <v>8</v>
      </c>
      <c r="AB5" s="134" t="n">
        <v>9</v>
      </c>
      <c r="AC5" s="134" t="n">
        <v>72</v>
      </c>
      <c r="AD5" s="134" t="n">
        <v>65</v>
      </c>
      <c r="AE5" s="134" t="n">
        <v>6</v>
      </c>
      <c r="AF5" s="134" t="n">
        <v>6</v>
      </c>
      <c r="AG5" s="134" t="n">
        <v>7</v>
      </c>
      <c r="AH5" s="134" t="s">
        <v>1231</v>
      </c>
      <c r="AI5" s="134" t="n">
        <v>5</v>
      </c>
      <c r="AJ5" s="134" t="n">
        <v>5</v>
      </c>
      <c r="AK5" s="134" t="n">
        <v>4</v>
      </c>
      <c r="AL5" s="134" t="n">
        <v>3</v>
      </c>
    </row>
    <row r="6" customFormat="false" ht="49.5" hidden="false" customHeight="true" outlineLevel="0" collapsed="false">
      <c r="A6" s="133" t="s">
        <v>668</v>
      </c>
      <c r="B6" s="134" t="n">
        <v>3</v>
      </c>
      <c r="C6" s="135" t="s">
        <v>1436</v>
      </c>
      <c r="D6" s="134" t="n">
        <v>8</v>
      </c>
      <c r="E6" s="134" t="n">
        <v>160</v>
      </c>
      <c r="F6" s="134" t="n">
        <v>220</v>
      </c>
      <c r="G6" s="134" t="n">
        <v>350</v>
      </c>
      <c r="H6" s="135" t="s">
        <v>1437</v>
      </c>
      <c r="I6" s="135" t="s">
        <v>1438</v>
      </c>
      <c r="J6" s="134" t="n">
        <v>6</v>
      </c>
      <c r="K6" s="135" t="s">
        <v>1439</v>
      </c>
      <c r="L6" s="134" t="s">
        <v>1236</v>
      </c>
      <c r="M6" s="134" t="n">
        <v>3</v>
      </c>
      <c r="N6" s="134" t="n">
        <v>9</v>
      </c>
      <c r="O6" s="134" t="n">
        <v>5</v>
      </c>
      <c r="P6" s="135" t="s">
        <v>1440</v>
      </c>
      <c r="Q6" s="134" t="n">
        <v>40</v>
      </c>
      <c r="R6" s="134" t="n">
        <v>25</v>
      </c>
      <c r="S6" s="134" t="n">
        <v>7</v>
      </c>
      <c r="T6" s="134" t="n">
        <v>5</v>
      </c>
      <c r="U6" s="134" t="n">
        <v>8</v>
      </c>
      <c r="V6" s="134" t="n">
        <v>8</v>
      </c>
      <c r="W6" s="134" t="n">
        <v>8</v>
      </c>
      <c r="X6" s="134" t="n">
        <v>7</v>
      </c>
      <c r="Y6" s="135" t="s">
        <v>1441</v>
      </c>
      <c r="Z6" s="134" t="n">
        <v>4</v>
      </c>
      <c r="AA6" s="134" t="n">
        <v>5</v>
      </c>
      <c r="AB6" s="134" t="n">
        <v>5</v>
      </c>
      <c r="AC6" s="134" t="n">
        <v>70</v>
      </c>
      <c r="AD6" s="134" t="n">
        <v>62</v>
      </c>
      <c r="AE6" s="134" t="n">
        <v>5</v>
      </c>
      <c r="AF6" s="134" t="n">
        <v>5</v>
      </c>
      <c r="AG6" s="134" t="n">
        <v>5</v>
      </c>
      <c r="AH6" s="134" t="s">
        <v>1260</v>
      </c>
      <c r="AI6" s="134" t="n">
        <v>7</v>
      </c>
      <c r="AJ6" s="134" t="n">
        <v>7</v>
      </c>
      <c r="AK6" s="134" t="n">
        <v>8</v>
      </c>
      <c r="AL6" s="134" t="n">
        <v>7</v>
      </c>
    </row>
    <row r="7" customFormat="false" ht="49.5" hidden="false" customHeight="true" outlineLevel="0" collapsed="false">
      <c r="A7" s="133" t="s">
        <v>669</v>
      </c>
      <c r="B7" s="134" t="n">
        <v>3</v>
      </c>
      <c r="C7" s="135" t="s">
        <v>1442</v>
      </c>
      <c r="D7" s="134" t="n">
        <v>8</v>
      </c>
      <c r="E7" s="134" t="n">
        <v>200</v>
      </c>
      <c r="F7" s="134" t="n">
        <v>280</v>
      </c>
      <c r="G7" s="134" t="n">
        <v>400</v>
      </c>
      <c r="H7" s="135" t="s">
        <v>1443</v>
      </c>
      <c r="I7" s="135" t="s">
        <v>1444</v>
      </c>
      <c r="J7" s="134" t="n">
        <v>5</v>
      </c>
      <c r="K7" s="135" t="s">
        <v>1445</v>
      </c>
      <c r="L7" s="134" t="s">
        <v>1236</v>
      </c>
      <c r="M7" s="134" t="n">
        <v>6</v>
      </c>
      <c r="N7" s="134" t="n">
        <v>6</v>
      </c>
      <c r="O7" s="134" t="n">
        <v>4</v>
      </c>
      <c r="P7" s="135" t="s">
        <v>1446</v>
      </c>
      <c r="Q7" s="134" t="n">
        <v>45</v>
      </c>
      <c r="R7" s="134" t="n">
        <v>35</v>
      </c>
      <c r="S7" s="134" t="n">
        <v>5</v>
      </c>
      <c r="T7" s="134" t="n">
        <v>4</v>
      </c>
      <c r="U7" s="134" t="n">
        <v>7</v>
      </c>
      <c r="V7" s="134" t="n">
        <v>4</v>
      </c>
      <c r="W7" s="134" t="n">
        <v>15</v>
      </c>
      <c r="X7" s="134" t="n">
        <v>7</v>
      </c>
      <c r="Y7" s="135" t="s">
        <v>1447</v>
      </c>
      <c r="Z7" s="134" t="n">
        <v>4</v>
      </c>
      <c r="AA7" s="134" t="n">
        <v>7</v>
      </c>
      <c r="AB7" s="134" t="n">
        <v>8</v>
      </c>
      <c r="AC7" s="134" t="n">
        <v>68</v>
      </c>
      <c r="AD7" s="134" t="n">
        <v>60</v>
      </c>
      <c r="AE7" s="134" t="n">
        <v>5</v>
      </c>
      <c r="AF7" s="134" t="n">
        <v>4</v>
      </c>
      <c r="AG7" s="134" t="n">
        <v>8</v>
      </c>
      <c r="AH7" s="134" t="s">
        <v>1260</v>
      </c>
      <c r="AI7" s="134" t="n">
        <v>5</v>
      </c>
      <c r="AJ7" s="134" t="n">
        <v>4</v>
      </c>
      <c r="AK7" s="134" t="n">
        <v>4</v>
      </c>
      <c r="AL7" s="134" t="n">
        <v>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2"/>
    <col collapsed="false" customWidth="true" hidden="false" outlineLevel="0" max="7" min="5" style="1" width="14"/>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2" min="12" style="1" width="14"/>
    <col collapsed="false" customWidth="true" hidden="false" outlineLevel="0" max="15" min="13" style="1" width="12"/>
    <col collapsed="false" customWidth="true" hidden="false" outlineLevel="0" max="16" min="16" style="1" width="30"/>
    <col collapsed="false" customWidth="true" hidden="false" outlineLevel="0" max="18" min="17" style="1" width="14"/>
    <col collapsed="false" customWidth="true" hidden="false" outlineLevel="0" max="19" min="19" style="1" width="12"/>
    <col collapsed="false" customWidth="true" hidden="false" outlineLevel="0" max="20" min="20" style="1" width="14"/>
    <col collapsed="false" customWidth="true" hidden="false" outlineLevel="0" max="22" min="21" style="1" width="12"/>
    <col collapsed="false" customWidth="true" hidden="false" outlineLevel="0" max="23" min="23" style="1" width="14"/>
    <col collapsed="false" customWidth="true" hidden="false" outlineLevel="0" max="24" min="24" style="1" width="12"/>
    <col collapsed="false" customWidth="true" hidden="false" outlineLevel="0" max="25" min="25" style="1" width="30"/>
    <col collapsed="false" customWidth="true" hidden="false" outlineLevel="0" max="28" min="26" style="1" width="12"/>
    <col collapsed="false" customWidth="true" hidden="false" outlineLevel="0" max="30" min="29" style="1" width="14"/>
    <col collapsed="false" customWidth="true" hidden="false" outlineLevel="0" max="33" min="31" style="1" width="12"/>
    <col collapsed="false" customWidth="true" hidden="false" outlineLevel="0" max="34" min="34" style="1" width="30"/>
    <col collapsed="false" customWidth="true" hidden="false" outlineLevel="0" max="38" min="35" style="1" width="12"/>
  </cols>
  <sheetData>
    <row r="1" customFormat="false" ht="17.25" hidden="false" customHeight="true" outlineLevel="0" collapsed="false">
      <c r="A1" s="127" t="s">
        <v>1448</v>
      </c>
      <c r="B1" s="127"/>
      <c r="C1" s="127"/>
      <c r="D1" s="127"/>
      <c r="E1" s="127"/>
    </row>
    <row r="2" customFormat="false" ht="15" hidden="false" customHeight="true" outlineLevel="0" collapsed="false">
      <c r="B2" s="128" t="s">
        <v>1106</v>
      </c>
      <c r="C2" s="128" t="s">
        <v>1106</v>
      </c>
      <c r="D2" s="128" t="s">
        <v>1106</v>
      </c>
      <c r="E2" s="128" t="s">
        <v>1107</v>
      </c>
      <c r="F2" s="128" t="s">
        <v>1107</v>
      </c>
      <c r="G2" s="128" t="s">
        <v>1107</v>
      </c>
      <c r="H2" s="128" t="s">
        <v>1107</v>
      </c>
      <c r="I2" s="128" t="s">
        <v>1107</v>
      </c>
      <c r="J2" s="128" t="s">
        <v>1107</v>
      </c>
      <c r="K2" s="128" t="s">
        <v>1108</v>
      </c>
      <c r="L2" s="128" t="s">
        <v>1108</v>
      </c>
      <c r="M2" s="128" t="s">
        <v>1108</v>
      </c>
      <c r="N2" s="128" t="s">
        <v>1108</v>
      </c>
      <c r="O2" s="128" t="s">
        <v>1108</v>
      </c>
      <c r="P2" s="128" t="s">
        <v>1108</v>
      </c>
      <c r="Q2" s="128" t="s">
        <v>1109</v>
      </c>
      <c r="R2" s="128" t="s">
        <v>1109</v>
      </c>
      <c r="S2" s="128" t="s">
        <v>1109</v>
      </c>
      <c r="T2" s="128" t="s">
        <v>1109</v>
      </c>
      <c r="U2" s="128" t="s">
        <v>1109</v>
      </c>
      <c r="V2" s="128" t="s">
        <v>1109</v>
      </c>
      <c r="W2" s="128" t="s">
        <v>1109</v>
      </c>
      <c r="X2" s="128" t="s">
        <v>1109</v>
      </c>
      <c r="Y2" s="128" t="s">
        <v>1110</v>
      </c>
      <c r="Z2" s="128" t="s">
        <v>1110</v>
      </c>
      <c r="AA2" s="128" t="s">
        <v>1111</v>
      </c>
      <c r="AB2" s="128" t="s">
        <v>1111</v>
      </c>
      <c r="AC2" s="128" t="s">
        <v>1112</v>
      </c>
      <c r="AD2" s="128" t="s">
        <v>1112</v>
      </c>
      <c r="AE2" s="128" t="s">
        <v>1112</v>
      </c>
      <c r="AF2" s="128" t="s">
        <v>1112</v>
      </c>
      <c r="AG2" s="128" t="s">
        <v>1112</v>
      </c>
      <c r="AH2" s="128" t="s">
        <v>1113</v>
      </c>
      <c r="AI2" s="128" t="s">
        <v>1114</v>
      </c>
      <c r="AJ2" s="128" t="s">
        <v>1114</v>
      </c>
      <c r="AK2" s="128" t="s">
        <v>1114</v>
      </c>
      <c r="AL2" s="128" t="s">
        <v>1114</v>
      </c>
    </row>
    <row r="3" customFormat="false" ht="45" hidden="false" customHeight="true" outlineLevel="0" collapsed="false">
      <c r="A3" s="129" t="s">
        <v>760</v>
      </c>
      <c r="B3" s="130" t="s">
        <v>1115</v>
      </c>
      <c r="C3" s="130" t="s">
        <v>1116</v>
      </c>
      <c r="D3" s="130" t="s">
        <v>1117</v>
      </c>
      <c r="E3" s="130" t="s">
        <v>1118</v>
      </c>
      <c r="F3" s="130" t="s">
        <v>1119</v>
      </c>
      <c r="G3" s="130" t="s">
        <v>1120</v>
      </c>
      <c r="H3" s="130" t="s">
        <v>1121</v>
      </c>
      <c r="I3" s="130" t="s">
        <v>1122</v>
      </c>
      <c r="J3" s="130" t="s">
        <v>1123</v>
      </c>
      <c r="K3" s="130" t="s">
        <v>1124</v>
      </c>
      <c r="L3" s="130" t="s">
        <v>1125</v>
      </c>
      <c r="M3" s="130" t="s">
        <v>1126</v>
      </c>
      <c r="N3" s="130" t="s">
        <v>1127</v>
      </c>
      <c r="O3" s="130" t="s">
        <v>1128</v>
      </c>
      <c r="P3" s="130" t="s">
        <v>1129</v>
      </c>
      <c r="Q3" s="130" t="s">
        <v>1130</v>
      </c>
      <c r="R3" s="130" t="s">
        <v>1131</v>
      </c>
      <c r="S3" s="130" t="s">
        <v>1132</v>
      </c>
      <c r="T3" s="130" t="s">
        <v>1133</v>
      </c>
      <c r="U3" s="130" t="s">
        <v>1134</v>
      </c>
      <c r="V3" s="130" t="s">
        <v>1135</v>
      </c>
      <c r="W3" s="130" t="s">
        <v>1136</v>
      </c>
      <c r="X3" s="130" t="s">
        <v>1137</v>
      </c>
      <c r="Y3" s="130" t="s">
        <v>1138</v>
      </c>
      <c r="Z3" s="130" t="s">
        <v>1139</v>
      </c>
      <c r="AA3" s="130" t="s">
        <v>1140</v>
      </c>
      <c r="AB3" s="130" t="s">
        <v>1141</v>
      </c>
      <c r="AC3" s="130" t="s">
        <v>1142</v>
      </c>
      <c r="AD3" s="130" t="s">
        <v>1143</v>
      </c>
      <c r="AE3" s="130" t="s">
        <v>1144</v>
      </c>
      <c r="AF3" s="130" t="s">
        <v>1145</v>
      </c>
      <c r="AG3" s="130" t="s">
        <v>1146</v>
      </c>
      <c r="AH3" s="130" t="s">
        <v>1147</v>
      </c>
      <c r="AI3" s="130" t="s">
        <v>1148</v>
      </c>
      <c r="AJ3" s="130" t="s">
        <v>1149</v>
      </c>
      <c r="AK3" s="130" t="s">
        <v>1150</v>
      </c>
      <c r="AL3" s="130" t="s">
        <v>1151</v>
      </c>
    </row>
    <row r="4" customFormat="false" ht="15" hidden="false" customHeight="true" outlineLevel="0" collapsed="false">
      <c r="A4" s="131" t="s">
        <v>1152</v>
      </c>
      <c r="B4" s="132" t="s">
        <v>19</v>
      </c>
      <c r="C4" s="132" t="s">
        <v>19</v>
      </c>
      <c r="D4" s="132" t="s">
        <v>19</v>
      </c>
      <c r="E4" s="132" t="s">
        <v>19</v>
      </c>
      <c r="F4" s="132" t="s">
        <v>19</v>
      </c>
      <c r="G4" s="132" t="s">
        <v>19</v>
      </c>
      <c r="H4" s="132" t="s">
        <v>12</v>
      </c>
      <c r="I4" s="132" t="s">
        <v>12</v>
      </c>
      <c r="J4" s="132" t="s">
        <v>19</v>
      </c>
      <c r="K4" s="132" t="s">
        <v>12</v>
      </c>
      <c r="L4" s="132" t="s">
        <v>12</v>
      </c>
      <c r="M4" s="132" t="s">
        <v>19</v>
      </c>
      <c r="N4" s="132" t="s">
        <v>19</v>
      </c>
      <c r="O4" s="132" t="s">
        <v>19</v>
      </c>
      <c r="P4" s="132" t="s">
        <v>12</v>
      </c>
      <c r="Q4" s="132" t="s">
        <v>19</v>
      </c>
      <c r="R4" s="132" t="s">
        <v>19</v>
      </c>
      <c r="S4" s="132" t="s">
        <v>19</v>
      </c>
      <c r="T4" s="132" t="s">
        <v>12</v>
      </c>
      <c r="U4" s="132" t="s">
        <v>19</v>
      </c>
      <c r="V4" s="132" t="s">
        <v>19</v>
      </c>
      <c r="W4" s="132" t="s">
        <v>19</v>
      </c>
      <c r="X4" s="132" t="s">
        <v>19</v>
      </c>
      <c r="Y4" s="132" t="s">
        <v>12</v>
      </c>
      <c r="Z4" s="132" t="s">
        <v>12</v>
      </c>
      <c r="AA4" s="132" t="s">
        <v>19</v>
      </c>
      <c r="AB4" s="132" t="s">
        <v>19</v>
      </c>
      <c r="AC4" s="132" t="s">
        <v>19</v>
      </c>
      <c r="AD4" s="132" t="s">
        <v>19</v>
      </c>
      <c r="AE4" s="132" t="s">
        <v>19</v>
      </c>
      <c r="AF4" s="132" t="s">
        <v>19</v>
      </c>
      <c r="AG4" s="132" t="s">
        <v>19</v>
      </c>
      <c r="AH4" s="132" t="s">
        <v>12</v>
      </c>
      <c r="AI4" s="132" t="s">
        <v>19</v>
      </c>
      <c r="AJ4" s="132" t="s">
        <v>19</v>
      </c>
      <c r="AK4" s="132" t="s">
        <v>19</v>
      </c>
      <c r="AL4" s="132" t="s">
        <v>19</v>
      </c>
    </row>
    <row r="5" customFormat="false" ht="49.5" hidden="false" customHeight="true" outlineLevel="0" collapsed="false">
      <c r="A5" s="133" t="s">
        <v>674</v>
      </c>
      <c r="B5" s="134" t="n">
        <v>0</v>
      </c>
      <c r="C5" s="135" t="s">
        <v>1449</v>
      </c>
      <c r="D5" s="134" t="n">
        <v>9</v>
      </c>
      <c r="E5" s="134" t="n">
        <v>130</v>
      </c>
      <c r="F5" s="134" t="n">
        <v>160</v>
      </c>
      <c r="G5" s="134" t="n">
        <v>220</v>
      </c>
      <c r="H5" s="135" t="s">
        <v>1450</v>
      </c>
      <c r="I5" s="135" t="s">
        <v>1451</v>
      </c>
      <c r="J5" s="134" t="n">
        <v>7</v>
      </c>
      <c r="K5" s="135" t="s">
        <v>1452</v>
      </c>
      <c r="L5" s="134" t="s">
        <v>1453</v>
      </c>
      <c r="M5" s="134" t="n">
        <v>3</v>
      </c>
      <c r="N5" s="134" t="n">
        <v>9</v>
      </c>
      <c r="O5" s="134" t="n">
        <v>5</v>
      </c>
      <c r="P5" s="135" t="s">
        <v>1454</v>
      </c>
      <c r="Q5" s="134" t="n">
        <v>40</v>
      </c>
      <c r="R5" s="134" t="n">
        <v>30</v>
      </c>
      <c r="S5" s="134" t="n">
        <v>8</v>
      </c>
      <c r="T5" s="134" t="n">
        <v>4</v>
      </c>
      <c r="U5" s="134" t="n">
        <v>8</v>
      </c>
      <c r="V5" s="134" t="n">
        <v>7</v>
      </c>
      <c r="W5" s="134" t="n">
        <v>4</v>
      </c>
      <c r="X5" s="134" t="n">
        <v>7</v>
      </c>
      <c r="Y5" s="135" t="s">
        <v>1455</v>
      </c>
      <c r="Z5" s="134" t="n">
        <v>6</v>
      </c>
      <c r="AA5" s="134" t="n">
        <v>4</v>
      </c>
      <c r="AB5" s="134" t="n">
        <v>4</v>
      </c>
      <c r="AC5" s="134" t="n">
        <v>68</v>
      </c>
      <c r="AD5" s="134" t="n">
        <v>60</v>
      </c>
      <c r="AE5" s="134" t="n">
        <v>6</v>
      </c>
      <c r="AF5" s="134" t="n">
        <v>5</v>
      </c>
      <c r="AG5" s="134" t="n">
        <v>6</v>
      </c>
      <c r="AH5" s="135" t="s">
        <v>1456</v>
      </c>
      <c r="AI5" s="134" t="n">
        <v>8</v>
      </c>
      <c r="AJ5" s="134" t="n">
        <v>7</v>
      </c>
      <c r="AK5" s="134" t="n">
        <v>7</v>
      </c>
      <c r="AL5" s="134" t="n">
        <v>9</v>
      </c>
    </row>
    <row r="6" customFormat="false" ht="49.5" hidden="false" customHeight="true" outlineLevel="0" collapsed="false">
      <c r="A6" s="133" t="s">
        <v>677</v>
      </c>
      <c r="B6" s="134" t="n">
        <v>0</v>
      </c>
      <c r="C6" s="135" t="s">
        <v>1457</v>
      </c>
      <c r="D6" s="134" t="n">
        <v>9</v>
      </c>
      <c r="E6" s="134" t="n">
        <v>120</v>
      </c>
      <c r="F6" s="134" t="n">
        <v>150</v>
      </c>
      <c r="G6" s="134" t="n">
        <v>200</v>
      </c>
      <c r="H6" s="135" t="s">
        <v>1458</v>
      </c>
      <c r="I6" s="135" t="s">
        <v>1459</v>
      </c>
      <c r="J6" s="134" t="n">
        <v>7</v>
      </c>
      <c r="K6" s="135" t="s">
        <v>1460</v>
      </c>
      <c r="L6" s="134" t="s">
        <v>1461</v>
      </c>
      <c r="M6" s="134" t="n">
        <v>2</v>
      </c>
      <c r="N6" s="134" t="n">
        <v>10</v>
      </c>
      <c r="O6" s="134" t="n">
        <v>5</v>
      </c>
      <c r="P6" s="135" t="s">
        <v>1462</v>
      </c>
      <c r="Q6" s="134" t="n">
        <v>40</v>
      </c>
      <c r="R6" s="134" t="n">
        <v>28</v>
      </c>
      <c r="S6" s="134" t="n">
        <v>8</v>
      </c>
      <c r="T6" s="134" t="n">
        <v>4</v>
      </c>
      <c r="U6" s="134" t="n">
        <v>8</v>
      </c>
      <c r="V6" s="134" t="n">
        <v>8</v>
      </c>
      <c r="W6" s="134" t="n">
        <v>3</v>
      </c>
      <c r="X6" s="134" t="n">
        <v>6</v>
      </c>
      <c r="Y6" s="135" t="s">
        <v>1463</v>
      </c>
      <c r="Z6" s="134" t="n">
        <v>4</v>
      </c>
      <c r="AA6" s="134" t="n">
        <v>3</v>
      </c>
      <c r="AB6" s="134" t="n">
        <v>3</v>
      </c>
      <c r="AC6" s="134" t="n">
        <v>65</v>
      </c>
      <c r="AD6" s="134" t="n">
        <v>55</v>
      </c>
      <c r="AE6" s="134" t="n">
        <v>4</v>
      </c>
      <c r="AF6" s="134" t="n">
        <v>4</v>
      </c>
      <c r="AG6" s="134" t="n">
        <v>4</v>
      </c>
      <c r="AH6" s="134" t="s">
        <v>1464</v>
      </c>
      <c r="AI6" s="134" t="n">
        <v>8</v>
      </c>
      <c r="AJ6" s="134" t="n">
        <v>8</v>
      </c>
      <c r="AK6" s="134" t="n">
        <v>8</v>
      </c>
      <c r="AL6" s="134" t="n">
        <v>9</v>
      </c>
    </row>
    <row r="7" customFormat="false" ht="49.5" hidden="false" customHeight="true" outlineLevel="0" collapsed="false">
      <c r="A7" s="133" t="s">
        <v>644</v>
      </c>
      <c r="B7" s="134" t="n">
        <v>0</v>
      </c>
      <c r="C7" s="135" t="s">
        <v>1465</v>
      </c>
      <c r="D7" s="134" t="n">
        <v>9</v>
      </c>
      <c r="E7" s="134" t="n">
        <v>115</v>
      </c>
      <c r="F7" s="134" t="n">
        <v>140</v>
      </c>
      <c r="G7" s="134" t="n">
        <v>200</v>
      </c>
      <c r="H7" s="135" t="s">
        <v>1466</v>
      </c>
      <c r="I7" s="135" t="s">
        <v>1467</v>
      </c>
      <c r="J7" s="134" t="n">
        <v>7</v>
      </c>
      <c r="K7" s="135" t="s">
        <v>1468</v>
      </c>
      <c r="L7" s="134" t="s">
        <v>1453</v>
      </c>
      <c r="M7" s="134" t="n">
        <v>2</v>
      </c>
      <c r="N7" s="134" t="n">
        <v>10</v>
      </c>
      <c r="O7" s="134" t="n">
        <v>4</v>
      </c>
      <c r="P7" s="135" t="s">
        <v>1469</v>
      </c>
      <c r="Q7" s="134" t="n">
        <v>40</v>
      </c>
      <c r="R7" s="134" t="n">
        <v>32</v>
      </c>
      <c r="S7" s="134" t="n">
        <v>8</v>
      </c>
      <c r="T7" s="134" t="n">
        <v>4</v>
      </c>
      <c r="U7" s="134" t="n">
        <v>9</v>
      </c>
      <c r="V7" s="134" t="n">
        <v>8</v>
      </c>
      <c r="W7" s="134" t="n">
        <v>3</v>
      </c>
      <c r="X7" s="134" t="n">
        <v>8</v>
      </c>
      <c r="Y7" s="135" t="s">
        <v>1470</v>
      </c>
      <c r="Z7" s="134" t="n">
        <v>5</v>
      </c>
      <c r="AA7" s="134" t="n">
        <v>3</v>
      </c>
      <c r="AB7" s="134" t="n">
        <v>3</v>
      </c>
      <c r="AC7" s="134" t="n">
        <v>62</v>
      </c>
      <c r="AD7" s="134" t="n">
        <v>52</v>
      </c>
      <c r="AE7" s="134" t="n">
        <v>4</v>
      </c>
      <c r="AF7" s="134" t="n">
        <v>4</v>
      </c>
      <c r="AG7" s="134" t="n">
        <v>5</v>
      </c>
      <c r="AH7" s="135" t="s">
        <v>1471</v>
      </c>
      <c r="AI7" s="134" t="n">
        <v>8</v>
      </c>
      <c r="AJ7" s="134" t="n">
        <v>8</v>
      </c>
      <c r="AK7" s="134" t="n">
        <v>8</v>
      </c>
      <c r="AL7" s="134" t="n">
        <v>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0"/>
    <col collapsed="false" customWidth="true" hidden="false" outlineLevel="0" max="9" min="4" style="0" width="14"/>
    <col collapsed="false" customWidth="true" hidden="false" outlineLevel="0" max="10" min="10" style="0" width="80"/>
  </cols>
  <sheetData>
    <row r="1" customFormat="false" ht="17.35" hidden="false" customHeight="false" outlineLevel="0" collapsed="false">
      <c r="A1" s="136" t="s">
        <v>1472</v>
      </c>
      <c r="B1" s="136"/>
      <c r="C1" s="136"/>
      <c r="D1" s="136"/>
      <c r="E1" s="136"/>
      <c r="F1" s="136"/>
      <c r="G1" s="136"/>
      <c r="H1" s="136"/>
    </row>
    <row r="2" customFormat="false" ht="15" hidden="false" customHeight="true" outlineLevel="0" collapsed="false">
      <c r="A2" s="137" t="s">
        <v>1473</v>
      </c>
      <c r="B2" s="137"/>
      <c r="C2" s="137"/>
      <c r="D2" s="137"/>
      <c r="E2" s="137"/>
      <c r="F2" s="137"/>
      <c r="G2" s="137"/>
      <c r="H2" s="137"/>
    </row>
    <row r="4" customFormat="false" ht="26.85" hidden="false" customHeight="false" outlineLevel="0" collapsed="false">
      <c r="A4" s="2" t="s">
        <v>0</v>
      </c>
      <c r="B4" s="2" t="s">
        <v>492</v>
      </c>
      <c r="C4" s="2" t="s">
        <v>1474</v>
      </c>
      <c r="D4" s="2" t="s">
        <v>1475</v>
      </c>
      <c r="E4" s="2" t="s">
        <v>1476</v>
      </c>
      <c r="F4" s="2" t="s">
        <v>1477</v>
      </c>
      <c r="G4" s="2" t="s">
        <v>1478</v>
      </c>
      <c r="H4" s="2" t="s">
        <v>1479</v>
      </c>
      <c r="I4" s="2" t="s">
        <v>1480</v>
      </c>
      <c r="J4" s="2" t="s">
        <v>1481</v>
      </c>
    </row>
    <row r="5" customFormat="false" ht="15" hidden="false" customHeight="false" outlineLevel="0" collapsed="false">
      <c r="A5" s="138" t="n">
        <v>1</v>
      </c>
      <c r="B5" s="139" t="s">
        <v>783</v>
      </c>
      <c r="C5" s="140" t="n">
        <v>7</v>
      </c>
      <c r="D5" s="141" t="n">
        <v>3.25</v>
      </c>
      <c r="E5" s="141" t="n">
        <v>3.25</v>
      </c>
      <c r="F5" s="141" t="n">
        <v>3.25</v>
      </c>
      <c r="G5" s="142" t="n">
        <v>7.25</v>
      </c>
      <c r="H5" s="142" t="n">
        <v>7.25</v>
      </c>
      <c r="I5" s="142" t="n">
        <v>7.25</v>
      </c>
      <c r="J5" s="143" t="s">
        <v>1482</v>
      </c>
    </row>
    <row r="6" customFormat="false" ht="22.35" hidden="false" customHeight="false" outlineLevel="0" collapsed="false">
      <c r="A6" s="138" t="n">
        <v>2</v>
      </c>
      <c r="B6" s="139" t="s">
        <v>798</v>
      </c>
      <c r="C6" s="140" t="n">
        <v>7</v>
      </c>
      <c r="D6" s="141" t="n">
        <v>4</v>
      </c>
      <c r="E6" s="141" t="n">
        <v>4</v>
      </c>
      <c r="F6" s="141" t="n">
        <v>4</v>
      </c>
      <c r="G6" s="142" t="n">
        <v>9</v>
      </c>
      <c r="H6" s="142" t="n">
        <v>9</v>
      </c>
      <c r="I6" s="142" t="n">
        <v>9</v>
      </c>
      <c r="J6" s="143" t="s">
        <v>1483</v>
      </c>
    </row>
    <row r="7" customFormat="false" ht="15" hidden="false" customHeight="false" outlineLevel="0" collapsed="false">
      <c r="A7" s="138" t="n">
        <v>3</v>
      </c>
      <c r="B7" s="139" t="s">
        <v>805</v>
      </c>
      <c r="C7" s="140" t="n">
        <v>5</v>
      </c>
      <c r="D7" s="141" t="n">
        <v>4.33</v>
      </c>
      <c r="E7" s="141" t="n">
        <v>4.33</v>
      </c>
      <c r="F7" s="141" t="n">
        <v>4.33</v>
      </c>
      <c r="G7" s="142" t="n">
        <v>6</v>
      </c>
      <c r="H7" s="142" t="n">
        <v>6</v>
      </c>
      <c r="I7" s="142" t="n">
        <v>6</v>
      </c>
      <c r="J7" s="143" t="s">
        <v>1484</v>
      </c>
    </row>
    <row r="8" customFormat="false" ht="22.35" hidden="false" customHeight="false" outlineLevel="0" collapsed="false">
      <c r="A8" s="138" t="n">
        <v>4</v>
      </c>
      <c r="B8" s="139" t="s">
        <v>815</v>
      </c>
      <c r="C8" s="140" t="n">
        <v>8</v>
      </c>
      <c r="D8" s="141" t="n">
        <v>4</v>
      </c>
      <c r="E8" s="144" t="n">
        <v>4.67</v>
      </c>
      <c r="F8" s="144" t="n">
        <v>4.67</v>
      </c>
      <c r="G8" s="144" t="n">
        <v>7</v>
      </c>
      <c r="H8" s="144" t="n">
        <v>7.33</v>
      </c>
      <c r="I8" s="142" t="n">
        <v>8</v>
      </c>
      <c r="J8" s="143" t="s">
        <v>1485</v>
      </c>
    </row>
    <row r="9" customFormat="false" ht="22.35" hidden="false" customHeight="false" outlineLevel="0" collapsed="false">
      <c r="A9" s="138" t="n">
        <v>5</v>
      </c>
      <c r="B9" s="139" t="s">
        <v>830</v>
      </c>
      <c r="C9" s="140" t="n">
        <v>10</v>
      </c>
      <c r="D9" s="141" t="n">
        <v>5</v>
      </c>
      <c r="E9" s="141" t="n">
        <v>5</v>
      </c>
      <c r="F9" s="141" t="n">
        <v>5</v>
      </c>
      <c r="G9" s="142" t="n">
        <v>5.6</v>
      </c>
      <c r="H9" s="142" t="n">
        <v>5.6</v>
      </c>
      <c r="I9" s="142" t="n">
        <v>5.6</v>
      </c>
      <c r="J9" s="143" t="s">
        <v>1486</v>
      </c>
    </row>
    <row r="10" customFormat="false" ht="22.35" hidden="false" customHeight="false" outlineLevel="0" collapsed="false">
      <c r="A10" s="138" t="n">
        <v>6</v>
      </c>
      <c r="B10" s="139" t="s">
        <v>1487</v>
      </c>
      <c r="C10" s="140" t="n">
        <v>8</v>
      </c>
      <c r="D10" s="142" t="n">
        <v>8.67</v>
      </c>
      <c r="E10" s="142" t="n">
        <v>8.67</v>
      </c>
      <c r="F10" s="142" t="n">
        <v>8.67</v>
      </c>
      <c r="G10" s="141" t="n">
        <v>6.67</v>
      </c>
      <c r="H10" s="141" t="n">
        <v>6.67</v>
      </c>
      <c r="I10" s="141" t="n">
        <v>6.67</v>
      </c>
      <c r="J10" s="143" t="s">
        <v>1488</v>
      </c>
    </row>
    <row r="11" customFormat="false" ht="22.35" hidden="false" customHeight="false" outlineLevel="0" collapsed="false">
      <c r="A11" s="138" t="n">
        <v>7</v>
      </c>
      <c r="B11" s="139" t="s">
        <v>846</v>
      </c>
      <c r="C11" s="140" t="n">
        <v>12</v>
      </c>
      <c r="D11" s="142" t="n">
        <v>7.72</v>
      </c>
      <c r="E11" s="144" t="n">
        <v>6.08</v>
      </c>
      <c r="F11" s="144" t="n">
        <v>5.8</v>
      </c>
      <c r="G11" s="144" t="n">
        <v>3.53</v>
      </c>
      <c r="H11" s="141" t="n">
        <v>3.08</v>
      </c>
      <c r="I11" s="144" t="n">
        <v>3.35</v>
      </c>
      <c r="J11" s="143" t="s">
        <v>1489</v>
      </c>
    </row>
    <row r="12" customFormat="false" ht="22.35" hidden="false" customHeight="false" outlineLevel="0" collapsed="false">
      <c r="A12" s="138" t="n">
        <v>8</v>
      </c>
      <c r="B12" s="139" t="s">
        <v>1490</v>
      </c>
      <c r="C12" s="140" t="n">
        <v>8</v>
      </c>
      <c r="D12" s="142" t="n">
        <v>8.33</v>
      </c>
      <c r="E12" s="144" t="n">
        <v>6.33</v>
      </c>
      <c r="F12" s="144" t="n">
        <v>6.33</v>
      </c>
      <c r="G12" s="144" t="n">
        <v>6</v>
      </c>
      <c r="H12" s="144" t="n">
        <v>5.67</v>
      </c>
      <c r="I12" s="141" t="n">
        <v>5.33</v>
      </c>
      <c r="J12" s="143" t="s">
        <v>1491</v>
      </c>
    </row>
    <row r="13" customFormat="false" ht="22.35" hidden="false" customHeight="false" outlineLevel="0" collapsed="false">
      <c r="A13" s="138" t="n">
        <v>9</v>
      </c>
      <c r="B13" s="139" t="s">
        <v>1492</v>
      </c>
      <c r="C13" s="140" t="n">
        <v>10</v>
      </c>
      <c r="D13" s="142" t="n">
        <v>8.61</v>
      </c>
      <c r="E13" s="144" t="n">
        <v>8.6</v>
      </c>
      <c r="F13" s="144" t="n">
        <v>7.31</v>
      </c>
      <c r="G13" s="141" t="n">
        <v>6.19</v>
      </c>
      <c r="H13" s="144" t="n">
        <v>8.17</v>
      </c>
      <c r="I13" s="144" t="n">
        <v>6.51</v>
      </c>
      <c r="J13" s="143" t="s">
        <v>1493</v>
      </c>
    </row>
    <row r="14" customFormat="false" ht="22.35" hidden="false" customHeight="false" outlineLevel="0" collapsed="false">
      <c r="A14" s="138" t="n">
        <v>10</v>
      </c>
      <c r="B14" s="139" t="s">
        <v>890</v>
      </c>
      <c r="C14" s="140" t="n">
        <v>5</v>
      </c>
      <c r="D14" s="142" t="n">
        <v>8</v>
      </c>
      <c r="E14" s="142" t="n">
        <v>8</v>
      </c>
      <c r="F14" s="142" t="n">
        <v>8</v>
      </c>
      <c r="G14" s="141" t="n">
        <v>6.5</v>
      </c>
      <c r="H14" s="141" t="n">
        <v>6.5</v>
      </c>
      <c r="I14" s="141" t="n">
        <v>6.5</v>
      </c>
      <c r="J14" s="143" t="s">
        <v>1494</v>
      </c>
    </row>
    <row r="15" customFormat="false" ht="22.35" hidden="false" customHeight="false" outlineLevel="0" collapsed="false">
      <c r="A15" s="138" t="n">
        <v>11</v>
      </c>
      <c r="B15" s="139" t="s">
        <v>899</v>
      </c>
      <c r="C15" s="140" t="n">
        <v>7</v>
      </c>
      <c r="D15" s="144" t="n">
        <v>7</v>
      </c>
      <c r="E15" s="144" t="n">
        <v>5.5</v>
      </c>
      <c r="F15" s="144" t="n">
        <v>7.5</v>
      </c>
      <c r="G15" s="142" t="n">
        <v>8.5</v>
      </c>
      <c r="H15" s="141" t="n">
        <v>5</v>
      </c>
      <c r="I15" s="144" t="n">
        <v>7.5</v>
      </c>
      <c r="J15" s="143" t="s">
        <v>1495</v>
      </c>
    </row>
    <row r="16" customFormat="false" ht="22.35" hidden="false" customHeight="false" outlineLevel="0" collapsed="false">
      <c r="A16" s="138" t="n">
        <v>12</v>
      </c>
      <c r="B16" s="139" t="s">
        <v>908</v>
      </c>
      <c r="C16" s="140" t="n">
        <v>8</v>
      </c>
      <c r="D16" s="144" t="n">
        <v>7.4</v>
      </c>
      <c r="E16" s="144" t="n">
        <v>7.62</v>
      </c>
      <c r="F16" s="142" t="n">
        <v>8.12</v>
      </c>
      <c r="G16" s="144" t="n">
        <v>5.84</v>
      </c>
      <c r="H16" s="141" t="n">
        <v>4.82</v>
      </c>
      <c r="I16" s="144" t="n">
        <v>5</v>
      </c>
      <c r="J16" s="143" t="s">
        <v>1496</v>
      </c>
    </row>
    <row r="17" customFormat="false" ht="22.35" hidden="false" customHeight="false" outlineLevel="0" collapsed="false">
      <c r="A17" s="138" t="n">
        <v>13</v>
      </c>
      <c r="B17" s="139" t="s">
        <v>922</v>
      </c>
      <c r="C17" s="140" t="n">
        <v>3</v>
      </c>
      <c r="D17" s="141" t="n">
        <v>4.5</v>
      </c>
      <c r="E17" s="141" t="n">
        <v>4.5</v>
      </c>
      <c r="F17" s="141" t="n">
        <v>4.5</v>
      </c>
      <c r="G17" s="142" t="n">
        <v>6.5</v>
      </c>
      <c r="H17" s="142" t="n">
        <v>6.5</v>
      </c>
      <c r="I17" s="142" t="n">
        <v>6.5</v>
      </c>
      <c r="J17" s="143" t="s">
        <v>1497</v>
      </c>
    </row>
    <row r="18" customFormat="false" ht="22.35" hidden="false" customHeight="false" outlineLevel="0" collapsed="false">
      <c r="A18" s="138" t="n">
        <v>14</v>
      </c>
      <c r="B18" s="139" t="s">
        <v>934</v>
      </c>
      <c r="C18" s="140" t="n">
        <v>5</v>
      </c>
      <c r="D18" s="144" t="n">
        <v>7</v>
      </c>
      <c r="E18" s="142" t="n">
        <v>8</v>
      </c>
      <c r="F18" s="144" t="n">
        <v>5.5</v>
      </c>
      <c r="G18" s="141" t="n">
        <v>4.25</v>
      </c>
      <c r="H18" s="144" t="n">
        <v>7.25</v>
      </c>
      <c r="I18" s="144" t="n">
        <v>4.5</v>
      </c>
      <c r="J18" s="143" t="s">
        <v>1498</v>
      </c>
    </row>
    <row r="20" customFormat="false" ht="15" hidden="false" customHeight="false" outlineLevel="0" collapsed="false">
      <c r="A20" s="145" t="s">
        <v>516</v>
      </c>
      <c r="B20" s="145"/>
      <c r="C20" s="145"/>
      <c r="D20" s="145"/>
      <c r="E20" s="145"/>
      <c r="F20" s="145"/>
      <c r="G20" s="145"/>
      <c r="H20" s="145"/>
    </row>
    <row r="21" customFormat="false" ht="39.55" hidden="false" customHeight="false" outlineLevel="0" collapsed="false">
      <c r="A21" s="2" t="s">
        <v>517</v>
      </c>
      <c r="B21" s="2" t="s">
        <v>1475</v>
      </c>
      <c r="C21" s="2" t="s">
        <v>1476</v>
      </c>
      <c r="D21" s="2" t="s">
        <v>1477</v>
      </c>
      <c r="E21" s="2" t="s">
        <v>1478</v>
      </c>
      <c r="F21" s="2" t="s">
        <v>1479</v>
      </c>
      <c r="G21" s="2" t="s">
        <v>1480</v>
      </c>
      <c r="H21" s="2" t="s">
        <v>518</v>
      </c>
    </row>
    <row r="22" customFormat="false" ht="15" hidden="false" customHeight="false" outlineLevel="0" collapsed="false">
      <c r="A22" s="146" t="s">
        <v>519</v>
      </c>
      <c r="B22" s="142" t="n">
        <v>6.46</v>
      </c>
      <c r="C22" s="144" t="n">
        <v>6.13</v>
      </c>
      <c r="D22" s="144" t="n">
        <v>6.03</v>
      </c>
      <c r="E22" s="144" t="n">
        <v>6.22</v>
      </c>
      <c r="F22" s="144" t="n">
        <v>6.19</v>
      </c>
      <c r="G22" s="144" t="n">
        <v>6.14</v>
      </c>
      <c r="H22" s="147" t="s">
        <v>1499</v>
      </c>
    </row>
    <row r="23" customFormat="false" ht="15" hidden="false" customHeight="false" outlineLevel="0" collapsed="false">
      <c r="A23" s="146" t="s">
        <v>521</v>
      </c>
      <c r="B23" s="144" t="n">
        <v>6.26</v>
      </c>
      <c r="C23" s="144" t="n">
        <v>6.04</v>
      </c>
      <c r="D23" s="144" t="n">
        <v>5.91</v>
      </c>
      <c r="E23" s="144" t="n">
        <v>6.33</v>
      </c>
      <c r="F23" s="142" t="n">
        <v>6.36</v>
      </c>
      <c r="G23" s="144" t="n">
        <v>6.25</v>
      </c>
      <c r="H23" s="147" t="s">
        <v>1500</v>
      </c>
    </row>
    <row r="24" customFormat="false" ht="15" hidden="false" customHeight="false" outlineLevel="0" collapsed="false">
      <c r="A24" s="146" t="s">
        <v>522</v>
      </c>
      <c r="B24" s="142" t="n">
        <v>6.65</v>
      </c>
      <c r="C24" s="144" t="n">
        <v>6.13</v>
      </c>
      <c r="D24" s="144" t="n">
        <v>6.07</v>
      </c>
      <c r="E24" s="144" t="n">
        <v>5.68</v>
      </c>
      <c r="F24" s="144" t="n">
        <v>5.5</v>
      </c>
      <c r="G24" s="144" t="n">
        <v>5.58</v>
      </c>
      <c r="H24" s="147" t="s">
        <v>1499</v>
      </c>
    </row>
    <row r="25" customFormat="false" ht="15" hidden="false" customHeight="false" outlineLevel="0" collapsed="false">
      <c r="A25" s="146" t="s">
        <v>523</v>
      </c>
      <c r="B25" s="142" t="n">
        <v>6.79</v>
      </c>
      <c r="C25" s="144" t="n">
        <v>6.44</v>
      </c>
      <c r="D25" s="144" t="n">
        <v>6.26</v>
      </c>
      <c r="E25" s="144" t="n">
        <v>6.24</v>
      </c>
      <c r="F25" s="144" t="n">
        <v>6.37</v>
      </c>
      <c r="G25" s="144" t="n">
        <v>6.16</v>
      </c>
      <c r="H25" s="147" t="s">
        <v>1499</v>
      </c>
    </row>
    <row r="26" customFormat="false" ht="15" hidden="false" customHeight="false" outlineLevel="0" collapsed="false">
      <c r="A26" s="146" t="s">
        <v>524</v>
      </c>
      <c r="B26" s="144" t="n">
        <v>5.33</v>
      </c>
      <c r="C26" s="144" t="n">
        <v>5.29</v>
      </c>
      <c r="D26" s="144" t="n">
        <v>5.22</v>
      </c>
      <c r="E26" s="144" t="n">
        <v>6.58</v>
      </c>
      <c r="F26" s="144" t="n">
        <v>6.63</v>
      </c>
      <c r="G26" s="142" t="n">
        <v>6.66</v>
      </c>
      <c r="H26" s="147" t="s">
        <v>1501</v>
      </c>
    </row>
    <row r="27" customFormat="false" ht="15" hidden="false" customHeight="false" outlineLevel="0" collapsed="false">
      <c r="A27" s="146" t="s">
        <v>526</v>
      </c>
      <c r="B27" s="142" t="n">
        <v>6.95</v>
      </c>
      <c r="C27" s="144" t="n">
        <v>6.48</v>
      </c>
      <c r="D27" s="144" t="n">
        <v>6.52</v>
      </c>
      <c r="E27" s="144" t="n">
        <v>6.33</v>
      </c>
      <c r="F27" s="144" t="n">
        <v>6.09</v>
      </c>
      <c r="G27" s="144" t="n">
        <v>6.09</v>
      </c>
      <c r="H27" s="147" t="s">
        <v>1499</v>
      </c>
    </row>
    <row r="29" customFormat="false" ht="15" hidden="false" customHeight="false" outlineLevel="0" collapsed="false">
      <c r="A29" s="145" t="s">
        <v>1502</v>
      </c>
      <c r="B29" s="145"/>
      <c r="C29" s="145"/>
      <c r="D29" s="145"/>
      <c r="E29" s="145"/>
      <c r="F29" s="145"/>
      <c r="G29" s="145"/>
      <c r="H29" s="145"/>
    </row>
    <row r="30" customFormat="false" ht="54.75" hidden="false" customHeight="true" outlineLevel="0" collapsed="false">
      <c r="A30" s="148" t="s">
        <v>1503</v>
      </c>
      <c r="B30" s="148"/>
      <c r="C30" s="149" t="s">
        <v>1504</v>
      </c>
      <c r="D30" s="149"/>
      <c r="E30" s="149"/>
      <c r="F30" s="149"/>
      <c r="G30" s="149"/>
      <c r="H30" s="149"/>
      <c r="I30" s="149"/>
      <c r="J30" s="149"/>
    </row>
    <row r="31" customFormat="false" ht="54.75" hidden="false" customHeight="true" outlineLevel="0" collapsed="false">
      <c r="A31" s="148" t="s">
        <v>1505</v>
      </c>
      <c r="B31" s="148"/>
      <c r="C31" s="149" t="s">
        <v>1506</v>
      </c>
      <c r="D31" s="149"/>
      <c r="E31" s="149"/>
      <c r="F31" s="149"/>
      <c r="G31" s="149"/>
      <c r="H31" s="149"/>
      <c r="I31" s="149"/>
      <c r="J31" s="149"/>
    </row>
    <row r="32" customFormat="false" ht="54.75" hidden="false" customHeight="true" outlineLevel="0" collapsed="false">
      <c r="A32" s="148" t="s">
        <v>1507</v>
      </c>
      <c r="B32" s="148"/>
      <c r="C32" s="149" t="s">
        <v>1508</v>
      </c>
      <c r="D32" s="149"/>
      <c r="E32" s="149"/>
      <c r="F32" s="149"/>
      <c r="G32" s="149"/>
      <c r="H32" s="149"/>
      <c r="I32" s="149"/>
      <c r="J32" s="149"/>
    </row>
    <row r="33" customFormat="false" ht="54.75" hidden="false" customHeight="true" outlineLevel="0" collapsed="false">
      <c r="A33" s="148" t="s">
        <v>1509</v>
      </c>
      <c r="B33" s="148"/>
      <c r="C33" s="149" t="s">
        <v>1510</v>
      </c>
      <c r="D33" s="149"/>
      <c r="E33" s="149"/>
      <c r="F33" s="149"/>
      <c r="G33" s="149"/>
      <c r="H33" s="149"/>
      <c r="I33" s="149"/>
      <c r="J33" s="149"/>
    </row>
    <row r="34" customFormat="false" ht="54.75" hidden="false" customHeight="true" outlineLevel="0" collapsed="false">
      <c r="A34" s="148" t="s">
        <v>1511</v>
      </c>
      <c r="B34" s="148"/>
      <c r="C34" s="149" t="s">
        <v>1512</v>
      </c>
      <c r="D34" s="149"/>
      <c r="E34" s="149"/>
      <c r="F34" s="149"/>
      <c r="G34" s="149"/>
      <c r="H34" s="149"/>
      <c r="I34" s="149"/>
      <c r="J34" s="149"/>
    </row>
  </sheetData>
  <mergeCells count="14">
    <mergeCell ref="A1:H1"/>
    <mergeCell ref="A2:H2"/>
    <mergeCell ref="A20:H20"/>
    <mergeCell ref="A29:H29"/>
    <mergeCell ref="A30:B30"/>
    <mergeCell ref="C30:J30"/>
    <mergeCell ref="A31:B31"/>
    <mergeCell ref="C31:J31"/>
    <mergeCell ref="A32:B32"/>
    <mergeCell ref="C32:J32"/>
    <mergeCell ref="A33:B33"/>
    <mergeCell ref="C33:J33"/>
    <mergeCell ref="A34:B34"/>
    <mergeCell ref="C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7" min="2" style="0" width="16"/>
  </cols>
  <sheetData>
    <row r="1" customFormat="false" ht="17.35" hidden="false" customHeight="false" outlineLevel="0" collapsed="false">
      <c r="A1" s="136" t="s">
        <v>1513</v>
      </c>
      <c r="B1" s="136"/>
      <c r="C1" s="136"/>
      <c r="D1" s="136"/>
      <c r="E1" s="136"/>
      <c r="F1" s="136"/>
      <c r="G1" s="136"/>
      <c r="H1" s="136"/>
      <c r="I1" s="136"/>
      <c r="J1" s="136"/>
      <c r="K1" s="136"/>
      <c r="L1" s="136"/>
      <c r="M1" s="136"/>
      <c r="N1" s="136"/>
      <c r="O1" s="136"/>
      <c r="P1" s="136"/>
    </row>
    <row r="2" customFormat="false" ht="15" hidden="false" customHeight="true" outlineLevel="0" collapsed="false">
      <c r="A2" s="137" t="s">
        <v>1514</v>
      </c>
      <c r="B2" s="137"/>
      <c r="C2" s="137"/>
      <c r="D2" s="137"/>
      <c r="E2" s="137"/>
      <c r="F2" s="137"/>
      <c r="G2" s="137"/>
      <c r="H2" s="137"/>
      <c r="I2" s="137"/>
      <c r="J2" s="137"/>
      <c r="K2" s="137"/>
      <c r="L2" s="137"/>
      <c r="M2" s="137"/>
      <c r="N2" s="137"/>
      <c r="O2" s="137"/>
      <c r="P2" s="137"/>
    </row>
    <row r="4" customFormat="false" ht="15" hidden="false" customHeight="false" outlineLevel="0" collapsed="false">
      <c r="A4" s="145" t="s">
        <v>1515</v>
      </c>
      <c r="B4" s="145"/>
    </row>
    <row r="5" customFormat="false" ht="15" hidden="false" customHeight="false" outlineLevel="0" collapsed="false">
      <c r="A5" s="8" t="s">
        <v>1516</v>
      </c>
      <c r="B5" s="8" t="s">
        <v>1475</v>
      </c>
      <c r="C5" s="8" t="s">
        <v>1476</v>
      </c>
      <c r="D5" s="8" t="s">
        <v>1477</v>
      </c>
      <c r="E5" s="8" t="s">
        <v>1478</v>
      </c>
      <c r="F5" s="8" t="s">
        <v>1479</v>
      </c>
      <c r="G5" s="8" t="s">
        <v>1480</v>
      </c>
    </row>
    <row r="6" customFormat="false" ht="15" hidden="false" customHeight="false" outlineLevel="0" collapsed="false">
      <c r="A6" s="150" t="s">
        <v>1517</v>
      </c>
      <c r="B6" s="151" t="n">
        <v>35</v>
      </c>
      <c r="C6" s="151" t="n">
        <v>35</v>
      </c>
      <c r="D6" s="151" t="n">
        <v>35</v>
      </c>
      <c r="E6" s="151" t="n">
        <v>35</v>
      </c>
      <c r="F6" s="151" t="n">
        <v>35</v>
      </c>
      <c r="G6" s="151" t="n">
        <v>35</v>
      </c>
    </row>
    <row r="7" customFormat="false" ht="15" hidden="false" customHeight="false" outlineLevel="0" collapsed="false">
      <c r="A7" s="150" t="s">
        <v>1518</v>
      </c>
      <c r="B7" s="151" t="n">
        <v>4</v>
      </c>
      <c r="C7" s="151" t="n">
        <v>4</v>
      </c>
      <c r="D7" s="151" t="n">
        <v>4</v>
      </c>
      <c r="E7" s="151" t="n">
        <v>4</v>
      </c>
      <c r="F7" s="151" t="n">
        <v>4</v>
      </c>
      <c r="G7" s="151" t="n">
        <v>4</v>
      </c>
    </row>
    <row r="8" customFormat="false" ht="15" hidden="false" customHeight="false" outlineLevel="0" collapsed="false">
      <c r="A8" s="150" t="s">
        <v>1519</v>
      </c>
      <c r="B8" s="151" t="n">
        <v>60</v>
      </c>
      <c r="C8" s="151" t="n">
        <v>60</v>
      </c>
      <c r="D8" s="151" t="n">
        <v>60</v>
      </c>
      <c r="E8" s="151" t="n">
        <v>50</v>
      </c>
      <c r="F8" s="151" t="n">
        <v>50</v>
      </c>
      <c r="G8" s="151" t="n">
        <v>50</v>
      </c>
    </row>
    <row r="9" customFormat="false" ht="15" hidden="false" customHeight="false" outlineLevel="0" collapsed="false">
      <c r="A9" s="150" t="s">
        <v>1520</v>
      </c>
      <c r="B9" s="151" t="n">
        <v>4</v>
      </c>
      <c r="C9" s="151" t="n">
        <v>4</v>
      </c>
      <c r="D9" s="151" t="n">
        <v>4</v>
      </c>
      <c r="E9" s="151" t="n">
        <v>4</v>
      </c>
      <c r="F9" s="151" t="n">
        <v>4</v>
      </c>
      <c r="G9" s="151" t="n">
        <v>4</v>
      </c>
    </row>
    <row r="10" customFormat="false" ht="15" hidden="false" customHeight="false" outlineLevel="0" collapsed="false">
      <c r="A10" s="150" t="s">
        <v>1521</v>
      </c>
      <c r="B10" s="151" t="n">
        <v>4</v>
      </c>
      <c r="C10" s="151" t="n">
        <v>4</v>
      </c>
      <c r="D10" s="151" t="n">
        <v>4</v>
      </c>
      <c r="E10" s="151" t="n">
        <v>3</v>
      </c>
      <c r="F10" s="151" t="n">
        <v>3</v>
      </c>
      <c r="G10" s="151" t="n">
        <v>3</v>
      </c>
    </row>
    <row r="11" customFormat="false" ht="15" hidden="false" customHeight="false" outlineLevel="0" collapsed="false">
      <c r="A11" s="150" t="s">
        <v>1522</v>
      </c>
      <c r="B11" s="151" t="n">
        <v>1</v>
      </c>
      <c r="C11" s="151" t="n">
        <v>0</v>
      </c>
      <c r="D11" s="151" t="n">
        <v>1</v>
      </c>
      <c r="E11" s="151" t="n">
        <v>0</v>
      </c>
      <c r="F11" s="151" t="n">
        <v>0</v>
      </c>
      <c r="G11" s="151" t="n">
        <v>0</v>
      </c>
    </row>
    <row r="12" customFormat="false" ht="15" hidden="false" customHeight="false" outlineLevel="0" collapsed="false">
      <c r="A12" s="150" t="s">
        <v>1523</v>
      </c>
      <c r="B12" s="151" t="n">
        <v>65</v>
      </c>
      <c r="C12" s="151" t="n">
        <v>65</v>
      </c>
      <c r="D12" s="151" t="n">
        <v>65</v>
      </c>
      <c r="E12" s="151" t="n">
        <v>60</v>
      </c>
      <c r="F12" s="151" t="n">
        <v>60</v>
      </c>
      <c r="G12" s="151" t="n">
        <v>60</v>
      </c>
    </row>
    <row r="13" customFormat="false" ht="15" hidden="false" customHeight="false" outlineLevel="0" collapsed="false">
      <c r="A13" s="150" t="s">
        <v>1524</v>
      </c>
      <c r="B13" s="151" t="n">
        <v>31</v>
      </c>
      <c r="C13" s="151" t="n">
        <v>30</v>
      </c>
      <c r="D13" s="151" t="n">
        <v>31</v>
      </c>
      <c r="E13" s="151" t="n">
        <v>29</v>
      </c>
      <c r="F13" s="151" t="n">
        <v>29</v>
      </c>
      <c r="G13" s="151" t="n">
        <v>29</v>
      </c>
    </row>
    <row r="14" customFormat="false" ht="15" hidden="false" customHeight="false" outlineLevel="0" collapsed="false">
      <c r="A14" s="150" t="s">
        <v>1118</v>
      </c>
      <c r="B14" s="151" t="n">
        <v>450</v>
      </c>
      <c r="C14" s="151" t="n">
        <v>350</v>
      </c>
      <c r="D14" s="151" t="n">
        <v>350</v>
      </c>
      <c r="E14" s="151" t="n">
        <v>220</v>
      </c>
      <c r="F14" s="151" t="n">
        <v>160</v>
      </c>
      <c r="G14" s="151" t="n">
        <v>200</v>
      </c>
    </row>
    <row r="15" customFormat="false" ht="15" hidden="false" customHeight="false" outlineLevel="0" collapsed="false">
      <c r="A15" s="150" t="s">
        <v>1525</v>
      </c>
      <c r="B15" s="151" t="n">
        <v>600</v>
      </c>
      <c r="C15" s="151" t="n">
        <v>450</v>
      </c>
      <c r="D15" s="151" t="n">
        <v>450</v>
      </c>
      <c r="E15" s="151" t="n">
        <v>320</v>
      </c>
      <c r="F15" s="151" t="n">
        <v>220</v>
      </c>
      <c r="G15" s="151" t="n">
        <v>280</v>
      </c>
    </row>
    <row r="16" customFormat="false" ht="15" hidden="false" customHeight="false" outlineLevel="0" collapsed="false">
      <c r="A16" s="150" t="s">
        <v>1526</v>
      </c>
      <c r="B16" s="151" t="n">
        <v>900</v>
      </c>
      <c r="C16" s="151" t="n">
        <v>700</v>
      </c>
      <c r="D16" s="151" t="n">
        <v>800</v>
      </c>
      <c r="E16" s="151" t="n">
        <v>500</v>
      </c>
      <c r="F16" s="151" t="n">
        <v>350</v>
      </c>
      <c r="G16" s="151" t="n">
        <v>400</v>
      </c>
    </row>
    <row r="17" customFormat="false" ht="15" hidden="false" customHeight="false" outlineLevel="0" collapsed="false">
      <c r="A17" s="150" t="s">
        <v>1527</v>
      </c>
      <c r="B17" s="151" t="n">
        <v>8</v>
      </c>
      <c r="C17" s="151" t="n">
        <v>8</v>
      </c>
      <c r="D17" s="151" t="n">
        <v>15</v>
      </c>
      <c r="E17" s="151" t="n">
        <v>15</v>
      </c>
      <c r="F17" s="151" t="n">
        <v>5</v>
      </c>
      <c r="G17" s="151" t="n">
        <v>12</v>
      </c>
    </row>
    <row r="18" customFormat="false" ht="15" hidden="false" customHeight="false" outlineLevel="0" collapsed="false">
      <c r="A18" s="150" t="s">
        <v>1528</v>
      </c>
      <c r="B18" s="151" t="n">
        <v>5</v>
      </c>
      <c r="C18" s="151" t="n">
        <v>5</v>
      </c>
      <c r="D18" s="151" t="n">
        <v>5</v>
      </c>
      <c r="E18" s="151" t="n">
        <v>5</v>
      </c>
      <c r="F18" s="151" t="n">
        <v>5</v>
      </c>
      <c r="G18" s="151" t="n">
        <v>5</v>
      </c>
    </row>
    <row r="19" customFormat="false" ht="15" hidden="false" customHeight="false" outlineLevel="0" collapsed="false">
      <c r="A19" s="150" t="s">
        <v>1529</v>
      </c>
      <c r="B19" s="151" t="n">
        <v>380</v>
      </c>
      <c r="C19" s="151" t="n">
        <v>380</v>
      </c>
      <c r="D19" s="151" t="n">
        <v>380</v>
      </c>
      <c r="E19" s="151" t="n">
        <v>340</v>
      </c>
      <c r="F19" s="151" t="n">
        <v>340</v>
      </c>
      <c r="G19" s="151" t="n">
        <v>340</v>
      </c>
    </row>
    <row r="20" customFormat="false" ht="15" hidden="false" customHeight="false" outlineLevel="0" collapsed="false">
      <c r="A20" s="150" t="s">
        <v>1530</v>
      </c>
      <c r="B20" s="152" t="n">
        <v>6.5</v>
      </c>
      <c r="C20" s="152" t="n">
        <v>6.5</v>
      </c>
      <c r="D20" s="152" t="n">
        <v>6.5</v>
      </c>
      <c r="E20" s="152" t="n">
        <v>6.5</v>
      </c>
      <c r="F20" s="152" t="n">
        <v>6.5</v>
      </c>
      <c r="G20" s="152" t="n">
        <v>6.5</v>
      </c>
    </row>
    <row r="21" customFormat="false" ht="15" hidden="false" customHeight="false" outlineLevel="0" collapsed="false">
      <c r="A21" s="150" t="s">
        <v>1531</v>
      </c>
      <c r="B21" s="151" t="n">
        <v>50</v>
      </c>
      <c r="C21" s="151" t="n">
        <v>50</v>
      </c>
      <c r="D21" s="151" t="n">
        <v>50</v>
      </c>
      <c r="E21" s="151" t="n">
        <v>45</v>
      </c>
      <c r="F21" s="151" t="n">
        <v>45</v>
      </c>
      <c r="G21" s="151" t="n">
        <v>45</v>
      </c>
    </row>
    <row r="22" customFormat="false" ht="15" hidden="false" customHeight="false" outlineLevel="0" collapsed="false">
      <c r="A22" s="150" t="s">
        <v>1532</v>
      </c>
      <c r="B22" s="152" t="n">
        <v>2.5</v>
      </c>
      <c r="C22" s="152" t="n">
        <v>2.5</v>
      </c>
      <c r="D22" s="152" t="n">
        <v>2.5</v>
      </c>
      <c r="E22" s="152" t="n">
        <v>2.5</v>
      </c>
      <c r="F22" s="152" t="n">
        <v>2.5</v>
      </c>
      <c r="G22" s="152" t="n">
        <v>2.5</v>
      </c>
    </row>
    <row r="23" customFormat="false" ht="15" hidden="false" customHeight="false" outlineLevel="0" collapsed="false">
      <c r="A23" s="150" t="s">
        <v>1533</v>
      </c>
      <c r="B23" s="152" t="n">
        <v>3</v>
      </c>
      <c r="C23" s="152" t="n">
        <v>3</v>
      </c>
      <c r="D23" s="152" t="n">
        <v>3</v>
      </c>
      <c r="E23" s="152" t="n">
        <v>3.5</v>
      </c>
      <c r="F23" s="152" t="n">
        <v>3</v>
      </c>
      <c r="G23" s="152" t="n">
        <v>3</v>
      </c>
    </row>
    <row r="24" customFormat="false" ht="15" hidden="false" customHeight="false" outlineLevel="0" collapsed="false">
      <c r="A24" s="150" t="s">
        <v>1534</v>
      </c>
      <c r="B24" s="152" t="n">
        <v>2.5</v>
      </c>
      <c r="C24" s="152" t="n">
        <v>2.5</v>
      </c>
      <c r="D24" s="152" t="n">
        <v>3</v>
      </c>
      <c r="E24" s="152" t="n">
        <v>2.5</v>
      </c>
      <c r="F24" s="152" t="n">
        <v>2.5</v>
      </c>
      <c r="G24" s="152" t="n">
        <v>2</v>
      </c>
    </row>
    <row r="25" customFormat="false" ht="15" hidden="false" customHeight="false" outlineLevel="0" collapsed="false">
      <c r="A25" s="150" t="s">
        <v>1535</v>
      </c>
      <c r="B25" s="152" t="n">
        <v>1</v>
      </c>
      <c r="C25" s="152" t="n">
        <v>1</v>
      </c>
      <c r="D25" s="152" t="n">
        <v>1</v>
      </c>
      <c r="E25" s="152" t="n">
        <v>1</v>
      </c>
      <c r="F25" s="152" t="n">
        <v>1</v>
      </c>
      <c r="G25" s="152" t="n">
        <v>1</v>
      </c>
    </row>
    <row r="26" customFormat="false" ht="15" hidden="false" customHeight="false" outlineLevel="0" collapsed="false">
      <c r="A26" s="150" t="s">
        <v>1536</v>
      </c>
      <c r="B26" s="152" t="n">
        <v>5</v>
      </c>
      <c r="C26" s="152" t="n">
        <v>5</v>
      </c>
      <c r="D26" s="152" t="n">
        <v>5</v>
      </c>
      <c r="E26" s="152" t="n">
        <v>5</v>
      </c>
      <c r="F26" s="152" t="n">
        <v>5</v>
      </c>
      <c r="G26" s="152" t="n">
        <v>5</v>
      </c>
    </row>
    <row r="28" customFormat="false" ht="15" hidden="false" customHeight="false" outlineLevel="0" collapsed="false">
      <c r="A28" s="145" t="s">
        <v>1537</v>
      </c>
      <c r="B28" s="145"/>
      <c r="C28" s="145"/>
      <c r="D28" s="145"/>
      <c r="E28" s="145"/>
      <c r="F28" s="145"/>
      <c r="G28" s="145"/>
    </row>
    <row r="29" customFormat="false" ht="15" hidden="false" customHeight="false" outlineLevel="0" collapsed="false">
      <c r="A29" s="2" t="s">
        <v>1538</v>
      </c>
      <c r="B29" s="2" t="s">
        <v>1475</v>
      </c>
      <c r="C29" s="2" t="s">
        <v>1476</v>
      </c>
      <c r="D29" s="2" t="s">
        <v>1477</v>
      </c>
      <c r="E29" s="2" t="s">
        <v>1478</v>
      </c>
      <c r="F29" s="2" t="s">
        <v>1479</v>
      </c>
      <c r="G29" s="2" t="s">
        <v>1480</v>
      </c>
    </row>
    <row r="30" customFormat="false" ht="15" hidden="false" customHeight="false" outlineLevel="0" collapsed="false">
      <c r="A30" s="153" t="s">
        <v>1539</v>
      </c>
      <c r="B30" s="154" t="n">
        <v>31</v>
      </c>
      <c r="C30" s="155" t="n">
        <v>30</v>
      </c>
      <c r="D30" s="154" t="n">
        <v>31</v>
      </c>
      <c r="E30" s="156" t="n">
        <v>29</v>
      </c>
      <c r="F30" s="156" t="n">
        <v>29</v>
      </c>
      <c r="G30" s="156" t="n">
        <v>29</v>
      </c>
    </row>
    <row r="31" customFormat="false" ht="15" hidden="false" customHeight="false" outlineLevel="0" collapsed="false">
      <c r="A31" s="153" t="s">
        <v>1540</v>
      </c>
      <c r="B31" s="157" t="n">
        <v>521</v>
      </c>
      <c r="C31" s="158" t="n">
        <v>489</v>
      </c>
      <c r="D31" s="157" t="n">
        <v>521</v>
      </c>
      <c r="E31" s="159" t="n">
        <v>411</v>
      </c>
      <c r="F31" s="159" t="n">
        <v>411</v>
      </c>
      <c r="G31" s="159" t="n">
        <v>411</v>
      </c>
    </row>
    <row r="32" customFormat="false" ht="15" hidden="false" customHeight="false" outlineLevel="0" collapsed="false">
      <c r="A32" s="153" t="s">
        <v>1541</v>
      </c>
      <c r="B32" s="160" t="n">
        <v>72.4</v>
      </c>
      <c r="C32" s="161" t="n">
        <v>68</v>
      </c>
      <c r="D32" s="160" t="n">
        <v>72.4</v>
      </c>
      <c r="E32" s="162" t="n">
        <v>57.1</v>
      </c>
      <c r="F32" s="162" t="n">
        <v>57.1</v>
      </c>
      <c r="G32" s="162" t="n">
        <v>57.1</v>
      </c>
    </row>
    <row r="33" customFormat="false" ht="15" hidden="false" customHeight="false" outlineLevel="0" collapsed="false">
      <c r="A33" s="153" t="s">
        <v>1542</v>
      </c>
      <c r="B33" s="156" t="n">
        <v>33</v>
      </c>
      <c r="C33" s="156" t="n">
        <v>33</v>
      </c>
      <c r="D33" s="155" t="n">
        <v>35</v>
      </c>
      <c r="E33" s="155" t="n">
        <v>35</v>
      </c>
      <c r="F33" s="154" t="n">
        <v>40</v>
      </c>
      <c r="G33" s="155" t="n">
        <v>37</v>
      </c>
    </row>
    <row r="34" customFormat="false" ht="15" hidden="false" customHeight="false" outlineLevel="0" collapsed="false">
      <c r="A34" s="153" t="s">
        <v>1543</v>
      </c>
      <c r="B34" s="156" t="n">
        <v>15</v>
      </c>
      <c r="C34" s="156" t="n">
        <v>15</v>
      </c>
      <c r="D34" s="155" t="n">
        <v>17</v>
      </c>
      <c r="E34" s="155" t="n">
        <v>17</v>
      </c>
      <c r="F34" s="154" t="n">
        <v>22</v>
      </c>
      <c r="G34" s="155" t="n">
        <v>19</v>
      </c>
    </row>
    <row r="35" customFormat="false" ht="15" hidden="false" customHeight="false" outlineLevel="0" collapsed="false">
      <c r="A35" s="153" t="s">
        <v>1544</v>
      </c>
      <c r="B35" s="159" t="n">
        <v>28153</v>
      </c>
      <c r="C35" s="158" t="n">
        <v>22155</v>
      </c>
      <c r="D35" s="158" t="n">
        <v>24067</v>
      </c>
      <c r="E35" s="158" t="n">
        <v>15917</v>
      </c>
      <c r="F35" s="157" t="n">
        <v>11140</v>
      </c>
      <c r="G35" s="158" t="n">
        <v>13106</v>
      </c>
    </row>
    <row r="36" customFormat="false" ht="15" hidden="false" customHeight="false" outlineLevel="0" collapsed="false">
      <c r="A36" s="153" t="s">
        <v>1545</v>
      </c>
      <c r="B36" s="159" t="n">
        <v>22376</v>
      </c>
      <c r="C36" s="158" t="n">
        <v>16344</v>
      </c>
      <c r="D36" s="158" t="n">
        <v>18045</v>
      </c>
      <c r="E36" s="158" t="n">
        <v>10357</v>
      </c>
      <c r="F36" s="157" t="n">
        <v>5950</v>
      </c>
      <c r="G36" s="158" t="n">
        <v>7657</v>
      </c>
    </row>
    <row r="37" customFormat="false" ht="15" hidden="false" customHeight="false" outlineLevel="0" collapsed="false">
      <c r="A37" s="153" t="s">
        <v>1546</v>
      </c>
      <c r="B37" s="159" t="n">
        <v>4464</v>
      </c>
      <c r="C37" s="158" t="n">
        <v>3160</v>
      </c>
      <c r="D37" s="158" t="n">
        <v>3317</v>
      </c>
      <c r="E37" s="158" t="n">
        <v>1831</v>
      </c>
      <c r="F37" s="157" t="n">
        <v>807</v>
      </c>
      <c r="G37" s="158" t="n">
        <v>1264</v>
      </c>
    </row>
    <row r="38" customFormat="false" ht="15" hidden="false" customHeight="false" outlineLevel="0" collapsed="false">
      <c r="A38" s="153" t="s">
        <v>1547</v>
      </c>
      <c r="B38" s="159" t="n">
        <v>900</v>
      </c>
      <c r="C38" s="158" t="n">
        <v>700</v>
      </c>
      <c r="D38" s="158" t="n">
        <v>800</v>
      </c>
      <c r="E38" s="158" t="n">
        <v>500</v>
      </c>
      <c r="F38" s="157" t="n">
        <v>350</v>
      </c>
      <c r="G38" s="158" t="n">
        <v>400</v>
      </c>
    </row>
    <row r="40" customFormat="false" ht="15" hidden="false" customHeight="false" outlineLevel="0" collapsed="false">
      <c r="A40" s="145" t="s">
        <v>1548</v>
      </c>
      <c r="B40" s="145"/>
      <c r="C40" s="145"/>
      <c r="D40" s="145"/>
      <c r="E40" s="145"/>
      <c r="F40" s="145"/>
      <c r="G40" s="145"/>
    </row>
    <row r="41" customFormat="false" ht="15" hidden="false" customHeight="false" outlineLevel="0" collapsed="false">
      <c r="A41" s="2" t="s">
        <v>1549</v>
      </c>
      <c r="B41" s="2" t="s">
        <v>1475</v>
      </c>
      <c r="C41" s="2" t="s">
        <v>1476</v>
      </c>
      <c r="D41" s="2" t="s">
        <v>1477</v>
      </c>
      <c r="E41" s="2" t="s">
        <v>1478</v>
      </c>
      <c r="F41" s="2" t="s">
        <v>1479</v>
      </c>
      <c r="G41" s="2" t="s">
        <v>1480</v>
      </c>
    </row>
    <row r="42" customFormat="false" ht="15" hidden="false" customHeight="false" outlineLevel="0" collapsed="false">
      <c r="A42" s="163" t="n">
        <v>18</v>
      </c>
      <c r="B42" s="164" t="n">
        <v>-85</v>
      </c>
      <c r="C42" s="164" t="n">
        <v>-85</v>
      </c>
      <c r="D42" s="164" t="n">
        <v>-85</v>
      </c>
      <c r="E42" s="164" t="n">
        <v>-80</v>
      </c>
      <c r="F42" s="164" t="n">
        <v>-80</v>
      </c>
      <c r="G42" s="164" t="n">
        <v>-80</v>
      </c>
    </row>
    <row r="43" customFormat="false" ht="15" hidden="false" customHeight="false" outlineLevel="0" collapsed="false">
      <c r="A43" s="163" t="n">
        <v>23</v>
      </c>
      <c r="B43" s="157" t="n">
        <v>-579</v>
      </c>
      <c r="C43" s="157" t="n">
        <v>-579</v>
      </c>
      <c r="D43" s="157" t="n">
        <v>-579</v>
      </c>
      <c r="E43" s="157" t="n">
        <v>-527</v>
      </c>
      <c r="F43" s="157" t="n">
        <v>-527</v>
      </c>
      <c r="G43" s="157" t="n">
        <v>-527</v>
      </c>
    </row>
    <row r="44" customFormat="false" ht="15" hidden="false" customHeight="false" outlineLevel="0" collapsed="false">
      <c r="A44" s="163" t="n">
        <v>28</v>
      </c>
      <c r="B44" s="157" t="n">
        <v>-809</v>
      </c>
      <c r="C44" s="157" t="n">
        <v>-809</v>
      </c>
      <c r="D44" s="157" t="n">
        <v>-809</v>
      </c>
      <c r="E44" s="157" t="n">
        <v>-722</v>
      </c>
      <c r="F44" s="157" t="n">
        <v>-722</v>
      </c>
      <c r="G44" s="157" t="n">
        <v>-722</v>
      </c>
    </row>
    <row r="45" customFormat="false" ht="15" hidden="false" customHeight="false" outlineLevel="0" collapsed="false">
      <c r="A45" s="163" t="n">
        <v>33</v>
      </c>
      <c r="B45" s="159" t="n">
        <v>120</v>
      </c>
      <c r="C45" s="159" t="n">
        <v>47</v>
      </c>
      <c r="D45" s="157" t="n">
        <v>-218</v>
      </c>
      <c r="E45" s="157" t="n">
        <v>-227</v>
      </c>
      <c r="F45" s="157" t="n">
        <v>-513</v>
      </c>
      <c r="G45" s="157" t="n">
        <v>-330</v>
      </c>
    </row>
    <row r="46" customFormat="false" ht="15" hidden="false" customHeight="false" outlineLevel="0" collapsed="false">
      <c r="A46" s="163" t="n">
        <v>38</v>
      </c>
      <c r="B46" s="159" t="n">
        <v>1969</v>
      </c>
      <c r="C46" s="159" t="n">
        <v>1302</v>
      </c>
      <c r="D46" s="159" t="n">
        <v>958</v>
      </c>
      <c r="E46" s="159" t="n">
        <v>455</v>
      </c>
      <c r="F46" s="157" t="n">
        <v>-209</v>
      </c>
      <c r="G46" s="159" t="n">
        <v>203</v>
      </c>
    </row>
    <row r="47" customFormat="false" ht="15" hidden="false" customHeight="false" outlineLevel="0" collapsed="false">
      <c r="A47" s="163" t="n">
        <v>43</v>
      </c>
      <c r="B47" s="159" t="n">
        <v>4526</v>
      </c>
      <c r="C47" s="159" t="n">
        <v>3155</v>
      </c>
      <c r="D47" s="159" t="n">
        <v>2773</v>
      </c>
      <c r="E47" s="159" t="n">
        <v>1683</v>
      </c>
      <c r="F47" s="159" t="n">
        <v>536</v>
      </c>
      <c r="G47" s="159" t="n">
        <v>1203</v>
      </c>
    </row>
    <row r="48" customFormat="false" ht="15" hidden="false" customHeight="false" outlineLevel="0" collapsed="false">
      <c r="A48" s="163" t="n">
        <v>48</v>
      </c>
      <c r="B48" s="159" t="n">
        <v>8087</v>
      </c>
      <c r="C48" s="159" t="n">
        <v>5778</v>
      </c>
      <c r="D48" s="159" t="n">
        <v>5736</v>
      </c>
      <c r="E48" s="159" t="n">
        <v>3409</v>
      </c>
      <c r="F48" s="159" t="n">
        <v>1624</v>
      </c>
      <c r="G48" s="159" t="n">
        <v>2519</v>
      </c>
    </row>
    <row r="49" customFormat="false" ht="15" hidden="false" customHeight="false" outlineLevel="0" collapsed="false">
      <c r="A49" s="163" t="n">
        <v>53</v>
      </c>
      <c r="B49" s="159" t="n">
        <v>12094</v>
      </c>
      <c r="C49" s="159" t="n">
        <v>8754</v>
      </c>
      <c r="D49" s="159" t="n">
        <v>9192</v>
      </c>
      <c r="E49" s="159" t="n">
        <v>5376</v>
      </c>
      <c r="F49" s="159" t="n">
        <v>2868</v>
      </c>
      <c r="G49" s="159" t="n">
        <v>3986</v>
      </c>
    </row>
    <row r="50" customFormat="false" ht="15" hidden="false" customHeight="false" outlineLevel="0" collapsed="false">
      <c r="A50" s="163" t="n">
        <v>58</v>
      </c>
      <c r="B50" s="159" t="n">
        <v>16263</v>
      </c>
      <c r="C50" s="159" t="n">
        <v>11840</v>
      </c>
      <c r="D50" s="159" t="n">
        <v>12785</v>
      </c>
      <c r="E50" s="159" t="n">
        <v>7408</v>
      </c>
      <c r="F50" s="159" t="n">
        <v>4138</v>
      </c>
      <c r="G50" s="159" t="n">
        <v>5491</v>
      </c>
    </row>
    <row r="51" customFormat="false" ht="15" hidden="false" customHeight="false" outlineLevel="0" collapsed="false">
      <c r="A51" s="165" t="n">
        <v>65</v>
      </c>
      <c r="B51" s="166" t="n">
        <v>22376</v>
      </c>
      <c r="C51" s="166" t="n">
        <v>16344</v>
      </c>
      <c r="D51" s="166" t="n">
        <v>18045</v>
      </c>
      <c r="E51" s="166" t="n">
        <v>10357</v>
      </c>
      <c r="F51" s="166" t="n">
        <v>5950</v>
      </c>
      <c r="G51" s="166" t="n">
        <v>7657</v>
      </c>
    </row>
    <row r="53" customFormat="false" ht="15" hidden="false" customHeight="false" outlineLevel="0" collapsed="false">
      <c r="A53" s="145" t="s">
        <v>1550</v>
      </c>
      <c r="B53" s="145"/>
      <c r="C53" s="145"/>
      <c r="D53" s="145"/>
      <c r="E53" s="145"/>
      <c r="F53" s="145"/>
      <c r="G53" s="145"/>
    </row>
    <row r="54" customFormat="false" ht="79.5" hidden="false" customHeight="true" outlineLevel="0" collapsed="false">
      <c r="A54" s="149" t="s">
        <v>1551</v>
      </c>
      <c r="B54" s="149"/>
      <c r="C54" s="149"/>
      <c r="D54" s="149"/>
      <c r="E54" s="149"/>
      <c r="F54" s="149"/>
      <c r="G54" s="149"/>
    </row>
  </sheetData>
  <mergeCells count="7">
    <mergeCell ref="A1:P1"/>
    <mergeCell ref="A2:P2"/>
    <mergeCell ref="A4:B4"/>
    <mergeCell ref="A28:G28"/>
    <mergeCell ref="A40:G40"/>
    <mergeCell ref="A53:G53"/>
    <mergeCell ref="A54:G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90"/>
    <col collapsed="false" customWidth="true" hidden="false" outlineLevel="0" max="8" min="4" style="0" width="14"/>
  </cols>
  <sheetData>
    <row r="1" customFormat="false" ht="17.35" hidden="false" customHeight="false" outlineLevel="0" collapsed="false">
      <c r="A1" s="136" t="s">
        <v>1552</v>
      </c>
      <c r="B1" s="136"/>
      <c r="C1" s="136"/>
      <c r="D1" s="136"/>
      <c r="E1" s="136"/>
      <c r="F1" s="136"/>
      <c r="G1" s="136"/>
      <c r="H1" s="136"/>
    </row>
    <row r="2" customFormat="false" ht="15" hidden="false" customHeight="true" outlineLevel="0" collapsed="false">
      <c r="A2" s="137" t="s">
        <v>1553</v>
      </c>
      <c r="B2" s="137"/>
      <c r="C2" s="137"/>
      <c r="D2" s="137"/>
      <c r="E2" s="137"/>
      <c r="F2" s="137"/>
      <c r="G2" s="137"/>
      <c r="H2" s="137"/>
    </row>
    <row r="4" customFormat="false" ht="15" hidden="false" customHeight="false" outlineLevel="0" collapsed="false">
      <c r="A4" s="145" t="s">
        <v>1554</v>
      </c>
      <c r="B4" s="145"/>
      <c r="C4" s="145"/>
      <c r="D4" s="145"/>
      <c r="E4" s="145"/>
      <c r="F4" s="145"/>
      <c r="G4" s="145"/>
      <c r="H4" s="145"/>
    </row>
    <row r="5" customFormat="false" ht="34.5" hidden="false" customHeight="true" outlineLevel="0" collapsed="false">
      <c r="A5" s="137" t="s">
        <v>1555</v>
      </c>
      <c r="B5" s="137"/>
      <c r="C5" s="137"/>
      <c r="D5" s="137"/>
      <c r="E5" s="137"/>
      <c r="F5" s="137"/>
      <c r="G5" s="137"/>
      <c r="H5" s="137"/>
    </row>
    <row r="6" customFormat="false" ht="15" hidden="false" customHeight="false" outlineLevel="0" collapsed="false">
      <c r="A6" s="167" t="s">
        <v>1556</v>
      </c>
      <c r="B6" s="8" t="s">
        <v>1557</v>
      </c>
      <c r="C6" s="167" t="s">
        <v>1558</v>
      </c>
    </row>
    <row r="7" customFormat="false" ht="49.5" hidden="false" customHeight="true" outlineLevel="0" collapsed="false">
      <c r="A7" s="146" t="s">
        <v>1475</v>
      </c>
      <c r="B7" s="168" t="n">
        <v>7</v>
      </c>
      <c r="C7" s="169" t="s">
        <v>1559</v>
      </c>
    </row>
    <row r="8" customFormat="false" ht="49.5" hidden="false" customHeight="true" outlineLevel="0" collapsed="false">
      <c r="A8" s="146" t="s">
        <v>1476</v>
      </c>
      <c r="B8" s="170" t="n">
        <v>5</v>
      </c>
      <c r="C8" s="169" t="s">
        <v>1560</v>
      </c>
    </row>
    <row r="9" customFormat="false" ht="49.5" hidden="false" customHeight="true" outlineLevel="0" collapsed="false">
      <c r="A9" s="146" t="s">
        <v>1477</v>
      </c>
      <c r="B9" s="168" t="n">
        <v>6</v>
      </c>
      <c r="C9" s="169" t="s">
        <v>1561</v>
      </c>
    </row>
    <row r="10" customFormat="false" ht="49.5" hidden="false" customHeight="true" outlineLevel="0" collapsed="false">
      <c r="A10" s="146" t="s">
        <v>1478</v>
      </c>
      <c r="B10" s="171" t="n">
        <v>9</v>
      </c>
      <c r="C10" s="169" t="s">
        <v>1562</v>
      </c>
    </row>
    <row r="11" customFormat="false" ht="49.5" hidden="false" customHeight="true" outlineLevel="0" collapsed="false">
      <c r="A11" s="146" t="s">
        <v>1479</v>
      </c>
      <c r="B11" s="170" t="n">
        <v>5</v>
      </c>
      <c r="C11" s="169" t="s">
        <v>1563</v>
      </c>
    </row>
    <row r="12" customFormat="false" ht="49.5" hidden="false" customHeight="true" outlineLevel="0" collapsed="false">
      <c r="A12" s="146" t="s">
        <v>1480</v>
      </c>
      <c r="B12" s="168" t="n">
        <v>7</v>
      </c>
      <c r="C12" s="169" t="s">
        <v>1564</v>
      </c>
    </row>
    <row r="14" customFormat="false" ht="15" hidden="false" customHeight="false" outlineLevel="0" collapsed="false">
      <c r="A14" s="145" t="s">
        <v>1565</v>
      </c>
      <c r="B14" s="145"/>
      <c r="C14" s="145"/>
      <c r="D14" s="145"/>
      <c r="E14" s="145"/>
      <c r="F14" s="145"/>
      <c r="G14" s="145"/>
      <c r="H14" s="145"/>
    </row>
    <row r="15" customFormat="false" ht="34.5" hidden="false" customHeight="true" outlineLevel="0" collapsed="false">
      <c r="A15" s="137" t="s">
        <v>1566</v>
      </c>
      <c r="B15" s="137"/>
      <c r="C15" s="137"/>
      <c r="D15" s="137"/>
      <c r="E15" s="137"/>
      <c r="F15" s="137"/>
      <c r="G15" s="137"/>
      <c r="H15" s="137"/>
    </row>
    <row r="16" customFormat="false" ht="15" hidden="false" customHeight="false" outlineLevel="0" collapsed="false">
      <c r="A16" s="167" t="s">
        <v>1556</v>
      </c>
      <c r="B16" s="8" t="s">
        <v>1557</v>
      </c>
      <c r="C16" s="167" t="s">
        <v>1558</v>
      </c>
    </row>
    <row r="17" customFormat="false" ht="49.5" hidden="false" customHeight="true" outlineLevel="0" collapsed="false">
      <c r="A17" s="146" t="s">
        <v>1475</v>
      </c>
      <c r="B17" s="168" t="n">
        <v>7</v>
      </c>
      <c r="C17" s="169" t="s">
        <v>1567</v>
      </c>
    </row>
    <row r="18" customFormat="false" ht="49.5" hidden="false" customHeight="true" outlineLevel="0" collapsed="false">
      <c r="A18" s="146" t="s">
        <v>1476</v>
      </c>
      <c r="B18" s="171" t="n">
        <v>8</v>
      </c>
      <c r="C18" s="169" t="s">
        <v>1568</v>
      </c>
    </row>
    <row r="19" customFormat="false" ht="49.5" hidden="false" customHeight="true" outlineLevel="0" collapsed="false">
      <c r="A19" s="146" t="s">
        <v>1477</v>
      </c>
      <c r="B19" s="168" t="n">
        <v>6</v>
      </c>
      <c r="C19" s="169" t="s">
        <v>1569</v>
      </c>
    </row>
    <row r="20" customFormat="false" ht="49.5" hidden="false" customHeight="true" outlineLevel="0" collapsed="false">
      <c r="A20" s="146" t="s">
        <v>1478</v>
      </c>
      <c r="B20" s="168" t="n">
        <v>4</v>
      </c>
      <c r="C20" s="169" t="s">
        <v>1570</v>
      </c>
    </row>
    <row r="21" customFormat="false" ht="49.5" hidden="false" customHeight="true" outlineLevel="0" collapsed="false">
      <c r="A21" s="146" t="s">
        <v>1479</v>
      </c>
      <c r="B21" s="168" t="n">
        <v>5</v>
      </c>
      <c r="C21" s="169" t="s">
        <v>1571</v>
      </c>
    </row>
    <row r="22" customFormat="false" ht="49.5" hidden="false" customHeight="true" outlineLevel="0" collapsed="false">
      <c r="A22" s="146" t="s">
        <v>1480</v>
      </c>
      <c r="B22" s="170" t="n">
        <v>3</v>
      </c>
      <c r="C22" s="169" t="s">
        <v>1572</v>
      </c>
    </row>
    <row r="24" customFormat="false" ht="15" hidden="false" customHeight="false" outlineLevel="0" collapsed="false">
      <c r="A24" s="145" t="s">
        <v>1573</v>
      </c>
      <c r="B24" s="145"/>
      <c r="C24" s="145"/>
      <c r="D24" s="145"/>
      <c r="E24" s="145"/>
      <c r="F24" s="145"/>
      <c r="G24" s="145"/>
      <c r="H24" s="145"/>
    </row>
    <row r="25" customFormat="false" ht="34.5" hidden="false" customHeight="true" outlineLevel="0" collapsed="false">
      <c r="A25" s="137" t="s">
        <v>1574</v>
      </c>
      <c r="B25" s="137"/>
      <c r="C25" s="137"/>
      <c r="D25" s="137"/>
      <c r="E25" s="137"/>
      <c r="F25" s="137"/>
      <c r="G25" s="137"/>
      <c r="H25" s="137"/>
    </row>
    <row r="26" customFormat="false" ht="15" hidden="false" customHeight="false" outlineLevel="0" collapsed="false">
      <c r="A26" s="167" t="s">
        <v>1556</v>
      </c>
      <c r="B26" s="8" t="s">
        <v>1557</v>
      </c>
      <c r="C26" s="167" t="s">
        <v>1558</v>
      </c>
    </row>
    <row r="27" customFormat="false" ht="49.5" hidden="false" customHeight="true" outlineLevel="0" collapsed="false">
      <c r="A27" s="146" t="s">
        <v>1475</v>
      </c>
      <c r="B27" s="168" t="n">
        <v>4</v>
      </c>
      <c r="C27" s="169" t="s">
        <v>1575</v>
      </c>
    </row>
    <row r="28" customFormat="false" ht="49.5" hidden="false" customHeight="true" outlineLevel="0" collapsed="false">
      <c r="A28" s="146" t="s">
        <v>1476</v>
      </c>
      <c r="B28" s="171" t="n">
        <v>8</v>
      </c>
      <c r="C28" s="169" t="s">
        <v>1576</v>
      </c>
    </row>
    <row r="29" customFormat="false" ht="49.5" hidden="false" customHeight="true" outlineLevel="0" collapsed="false">
      <c r="A29" s="146" t="s">
        <v>1477</v>
      </c>
      <c r="B29" s="168" t="n">
        <v>5</v>
      </c>
      <c r="C29" s="169" t="s">
        <v>1577</v>
      </c>
    </row>
    <row r="30" customFormat="false" ht="49.5" hidden="false" customHeight="true" outlineLevel="0" collapsed="false">
      <c r="A30" s="146" t="s">
        <v>1478</v>
      </c>
      <c r="B30" s="170" t="n">
        <v>3</v>
      </c>
      <c r="C30" s="169" t="s">
        <v>1578</v>
      </c>
    </row>
    <row r="31" customFormat="false" ht="49.5" hidden="false" customHeight="true" outlineLevel="0" collapsed="false">
      <c r="A31" s="146" t="s">
        <v>1479</v>
      </c>
      <c r="B31" s="168" t="n">
        <v>7</v>
      </c>
      <c r="C31" s="169" t="s">
        <v>1579</v>
      </c>
    </row>
    <row r="32" customFormat="false" ht="49.5" hidden="false" customHeight="true" outlineLevel="0" collapsed="false">
      <c r="A32" s="146" t="s">
        <v>1480</v>
      </c>
      <c r="B32" s="168" t="n">
        <v>5</v>
      </c>
      <c r="C32" s="169" t="s">
        <v>1580</v>
      </c>
    </row>
    <row r="34" customFormat="false" ht="15" hidden="false" customHeight="false" outlineLevel="0" collapsed="false">
      <c r="A34" s="145" t="s">
        <v>1581</v>
      </c>
      <c r="B34" s="145"/>
      <c r="C34" s="145"/>
      <c r="D34" s="145"/>
      <c r="E34" s="145"/>
      <c r="F34" s="145"/>
      <c r="G34" s="145"/>
      <c r="H34" s="145"/>
    </row>
    <row r="35" customFormat="false" ht="34.5" hidden="false" customHeight="true" outlineLevel="0" collapsed="false">
      <c r="A35" s="137" t="s">
        <v>1582</v>
      </c>
      <c r="B35" s="137"/>
      <c r="C35" s="137"/>
      <c r="D35" s="137"/>
      <c r="E35" s="137"/>
      <c r="F35" s="137"/>
      <c r="G35" s="137"/>
      <c r="H35" s="137"/>
    </row>
    <row r="36" customFormat="false" ht="15" hidden="false" customHeight="false" outlineLevel="0" collapsed="false">
      <c r="A36" s="167" t="s">
        <v>1556</v>
      </c>
      <c r="B36" s="8" t="s">
        <v>1557</v>
      </c>
      <c r="C36" s="167" t="s">
        <v>1558</v>
      </c>
    </row>
    <row r="37" customFormat="false" ht="49.5" hidden="false" customHeight="true" outlineLevel="0" collapsed="false">
      <c r="A37" s="146" t="s">
        <v>1475</v>
      </c>
      <c r="B37" s="170" t="n">
        <v>2</v>
      </c>
      <c r="C37" s="169" t="s">
        <v>1583</v>
      </c>
    </row>
    <row r="38" customFormat="false" ht="49.5" hidden="false" customHeight="true" outlineLevel="0" collapsed="false">
      <c r="A38" s="146" t="s">
        <v>1476</v>
      </c>
      <c r="B38" s="170" t="n">
        <v>2</v>
      </c>
      <c r="C38" s="169" t="s">
        <v>1584</v>
      </c>
    </row>
    <row r="39" customFormat="false" ht="49.5" hidden="false" customHeight="true" outlineLevel="0" collapsed="false">
      <c r="A39" s="146" t="s">
        <v>1477</v>
      </c>
      <c r="B39" s="168" t="n">
        <v>3</v>
      </c>
      <c r="C39" s="169" t="s">
        <v>1585</v>
      </c>
    </row>
    <row r="40" customFormat="false" ht="49.5" hidden="false" customHeight="true" outlineLevel="0" collapsed="false">
      <c r="A40" s="146" t="s">
        <v>1478</v>
      </c>
      <c r="B40" s="171" t="n">
        <v>10</v>
      </c>
      <c r="C40" s="169" t="s">
        <v>1586</v>
      </c>
    </row>
    <row r="41" customFormat="false" ht="49.5" hidden="false" customHeight="true" outlineLevel="0" collapsed="false">
      <c r="A41" s="146" t="s">
        <v>1479</v>
      </c>
      <c r="B41" s="171" t="n">
        <v>10</v>
      </c>
      <c r="C41" s="169" t="s">
        <v>1587</v>
      </c>
    </row>
    <row r="42" customFormat="false" ht="49.5" hidden="false" customHeight="true" outlineLevel="0" collapsed="false">
      <c r="A42" s="146" t="s">
        <v>1480</v>
      </c>
      <c r="B42" s="171" t="n">
        <v>10</v>
      </c>
      <c r="C42" s="169" t="s">
        <v>1588</v>
      </c>
    </row>
    <row r="44" customFormat="false" ht="15" hidden="false" customHeight="false" outlineLevel="0" collapsed="false">
      <c r="A44" s="145" t="s">
        <v>1589</v>
      </c>
      <c r="B44" s="145"/>
      <c r="C44" s="145"/>
      <c r="D44" s="145"/>
      <c r="E44" s="145"/>
      <c r="F44" s="145"/>
      <c r="G44" s="145"/>
      <c r="H44" s="145"/>
    </row>
    <row r="45" customFormat="false" ht="15" hidden="false" customHeight="false" outlineLevel="0" collapsed="false">
      <c r="A45" s="2" t="s">
        <v>1556</v>
      </c>
      <c r="B45" s="2" t="s">
        <v>1590</v>
      </c>
      <c r="C45" s="2" t="s">
        <v>1591</v>
      </c>
      <c r="D45" s="2" t="s">
        <v>1592</v>
      </c>
      <c r="E45" s="2" t="s">
        <v>1593</v>
      </c>
      <c r="F45" s="2" t="s">
        <v>1594</v>
      </c>
      <c r="G45" s="2" t="s">
        <v>648</v>
      </c>
    </row>
    <row r="46" customFormat="false" ht="15" hidden="false" customHeight="false" outlineLevel="0" collapsed="false">
      <c r="A46" s="146" t="s">
        <v>1475</v>
      </c>
      <c r="B46" s="163" t="n">
        <v>7</v>
      </c>
      <c r="C46" s="163" t="n">
        <v>7</v>
      </c>
      <c r="D46" s="163" t="n">
        <v>4</v>
      </c>
      <c r="E46" s="163" t="n">
        <v>2</v>
      </c>
      <c r="F46" s="172" t="n">
        <v>5</v>
      </c>
      <c r="G46" s="168" t="n">
        <v>5</v>
      </c>
    </row>
    <row r="47" customFormat="false" ht="15" hidden="false" customHeight="false" outlineLevel="0" collapsed="false">
      <c r="A47" s="146" t="s">
        <v>1476</v>
      </c>
      <c r="B47" s="163" t="n">
        <v>5</v>
      </c>
      <c r="C47" s="163" t="n">
        <v>8</v>
      </c>
      <c r="D47" s="163" t="n">
        <v>8</v>
      </c>
      <c r="E47" s="163" t="n">
        <v>2</v>
      </c>
      <c r="F47" s="172" t="n">
        <v>5.8</v>
      </c>
      <c r="G47" s="168" t="n">
        <v>4</v>
      </c>
    </row>
    <row r="48" customFormat="false" ht="15" hidden="false" customHeight="false" outlineLevel="0" collapsed="false">
      <c r="A48" s="146" t="s">
        <v>1477</v>
      </c>
      <c r="B48" s="163" t="n">
        <v>6</v>
      </c>
      <c r="C48" s="163" t="n">
        <v>6</v>
      </c>
      <c r="D48" s="163" t="n">
        <v>5</v>
      </c>
      <c r="E48" s="163" t="n">
        <v>3</v>
      </c>
      <c r="F48" s="173" t="n">
        <v>5</v>
      </c>
      <c r="G48" s="168" t="n">
        <v>6</v>
      </c>
    </row>
    <row r="49" customFormat="false" ht="15" hidden="false" customHeight="false" outlineLevel="0" collapsed="false">
      <c r="A49" s="146" t="s">
        <v>1478</v>
      </c>
      <c r="B49" s="163" t="n">
        <v>9</v>
      </c>
      <c r="C49" s="163" t="n">
        <v>4</v>
      </c>
      <c r="D49" s="163" t="n">
        <v>3</v>
      </c>
      <c r="E49" s="163" t="n">
        <v>10</v>
      </c>
      <c r="F49" s="172" t="n">
        <v>6.5</v>
      </c>
      <c r="G49" s="168" t="n">
        <v>2</v>
      </c>
    </row>
    <row r="50" customFormat="false" ht="15" hidden="false" customHeight="false" outlineLevel="0" collapsed="false">
      <c r="A50" s="146" t="s">
        <v>1479</v>
      </c>
      <c r="B50" s="163" t="n">
        <v>5</v>
      </c>
      <c r="C50" s="163" t="n">
        <v>5</v>
      </c>
      <c r="D50" s="163" t="n">
        <v>7</v>
      </c>
      <c r="E50" s="163" t="n">
        <v>10</v>
      </c>
      <c r="F50" s="174" t="n">
        <v>6.8</v>
      </c>
      <c r="G50" s="168" t="n">
        <v>1</v>
      </c>
    </row>
    <row r="51" customFormat="false" ht="15" hidden="false" customHeight="false" outlineLevel="0" collapsed="false">
      <c r="A51" s="146" t="s">
        <v>1480</v>
      </c>
      <c r="B51" s="163" t="n">
        <v>7</v>
      </c>
      <c r="C51" s="163" t="n">
        <v>3</v>
      </c>
      <c r="D51" s="163" t="n">
        <v>5</v>
      </c>
      <c r="E51" s="163" t="n">
        <v>10</v>
      </c>
      <c r="F51" s="172" t="n">
        <v>6.2</v>
      </c>
      <c r="G51" s="168" t="n">
        <v>3</v>
      </c>
    </row>
    <row r="53" customFormat="false" ht="15" hidden="false" customHeight="false" outlineLevel="0" collapsed="false">
      <c r="A53" s="145" t="s">
        <v>1595</v>
      </c>
      <c r="B53" s="145"/>
      <c r="C53" s="145"/>
      <c r="D53" s="145"/>
      <c r="E53" s="145"/>
      <c r="F53" s="145"/>
      <c r="G53" s="145"/>
      <c r="H53" s="145"/>
    </row>
    <row r="54" customFormat="false" ht="69.75" hidden="false" customHeight="true" outlineLevel="0" collapsed="false">
      <c r="A54" s="149" t="s">
        <v>1596</v>
      </c>
      <c r="B54" s="149"/>
      <c r="C54" s="149"/>
      <c r="D54" s="149"/>
      <c r="E54" s="149"/>
      <c r="F54" s="149"/>
      <c r="G54" s="149"/>
      <c r="H54" s="149"/>
    </row>
  </sheetData>
  <mergeCells count="13">
    <mergeCell ref="A1:H1"/>
    <mergeCell ref="A2:H2"/>
    <mergeCell ref="A4:H4"/>
    <mergeCell ref="A5:H5"/>
    <mergeCell ref="A14:H14"/>
    <mergeCell ref="A15:H15"/>
    <mergeCell ref="A24:H24"/>
    <mergeCell ref="A25:H25"/>
    <mergeCell ref="A34:H34"/>
    <mergeCell ref="A35:H35"/>
    <mergeCell ref="A44:H44"/>
    <mergeCell ref="A53:H53"/>
    <mergeCell ref="A54:H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6" min="3" style="0" width="16"/>
    <col collapsed="false" customWidth="true" hidden="false" outlineLevel="0" max="7" min="7" style="0" width="80"/>
    <col collapsed="false" customWidth="true" hidden="false" outlineLevel="0" max="8" min="8" style="0" width="14"/>
  </cols>
  <sheetData>
    <row r="1" customFormat="false" ht="17.35" hidden="false" customHeight="false" outlineLevel="0" collapsed="false">
      <c r="A1" s="136" t="s">
        <v>1597</v>
      </c>
      <c r="B1" s="136"/>
      <c r="C1" s="136"/>
      <c r="D1" s="136"/>
      <c r="E1" s="136"/>
      <c r="F1" s="136"/>
      <c r="G1" s="136"/>
      <c r="H1" s="136"/>
    </row>
    <row r="2" customFormat="false" ht="15" hidden="false" customHeight="true" outlineLevel="0" collapsed="false">
      <c r="A2" s="137" t="s">
        <v>1598</v>
      </c>
      <c r="B2" s="137"/>
      <c r="C2" s="137"/>
      <c r="D2" s="137"/>
      <c r="E2" s="137"/>
      <c r="F2" s="137"/>
      <c r="G2" s="137"/>
      <c r="H2" s="137"/>
    </row>
    <row r="4" customFormat="false" ht="15" hidden="false" customHeight="false" outlineLevel="0" collapsed="false">
      <c r="A4" s="145" t="s">
        <v>1599</v>
      </c>
      <c r="B4" s="145"/>
      <c r="C4" s="145"/>
      <c r="D4" s="145"/>
      <c r="E4" s="145"/>
      <c r="F4" s="145"/>
      <c r="G4" s="145"/>
      <c r="H4" s="145"/>
    </row>
    <row r="5" customFormat="false" ht="26.85" hidden="false" customHeight="false" outlineLevel="0" collapsed="false">
      <c r="A5" s="8" t="s">
        <v>648</v>
      </c>
      <c r="B5" s="8" t="s">
        <v>1556</v>
      </c>
      <c r="C5" s="8" t="s">
        <v>1600</v>
      </c>
      <c r="D5" s="8" t="s">
        <v>1601</v>
      </c>
      <c r="E5" s="8" t="s">
        <v>1602</v>
      </c>
      <c r="F5" s="8" t="s">
        <v>1603</v>
      </c>
      <c r="G5" s="8" t="s">
        <v>1604</v>
      </c>
    </row>
    <row r="6" customFormat="false" ht="75" hidden="false" customHeight="true" outlineLevel="0" collapsed="false">
      <c r="A6" s="175" t="n">
        <v>1</v>
      </c>
      <c r="B6" s="176" t="s">
        <v>1605</v>
      </c>
      <c r="C6" s="144" t="n">
        <v>6.13</v>
      </c>
      <c r="D6" s="177" t="n">
        <v>5.8</v>
      </c>
      <c r="E6" s="158" t="n">
        <v>3160</v>
      </c>
      <c r="F6" s="158" t="n">
        <v>16344</v>
      </c>
      <c r="G6" s="143" t="s">
        <v>1606</v>
      </c>
    </row>
    <row r="7" customFormat="false" ht="75" hidden="false" customHeight="true" outlineLevel="0" collapsed="false">
      <c r="A7" s="178" t="n">
        <v>2</v>
      </c>
      <c r="B7" s="176" t="s">
        <v>1607</v>
      </c>
      <c r="C7" s="144" t="n">
        <v>6.46</v>
      </c>
      <c r="D7" s="177" t="n">
        <v>5</v>
      </c>
      <c r="E7" s="158" t="n">
        <v>4464</v>
      </c>
      <c r="F7" s="158" t="n">
        <v>22376</v>
      </c>
      <c r="G7" s="143" t="s">
        <v>1608</v>
      </c>
    </row>
    <row r="8" customFormat="false" ht="75" hidden="false" customHeight="true" outlineLevel="0" collapsed="false">
      <c r="A8" s="179" t="n">
        <v>3</v>
      </c>
      <c r="B8" s="176" t="s">
        <v>1609</v>
      </c>
      <c r="C8" s="144" t="n">
        <v>6.03</v>
      </c>
      <c r="D8" s="177" t="n">
        <v>5</v>
      </c>
      <c r="E8" s="158" t="n">
        <v>3317</v>
      </c>
      <c r="F8" s="158" t="n">
        <v>18045</v>
      </c>
      <c r="G8" s="143" t="s">
        <v>1610</v>
      </c>
    </row>
    <row r="9" customFormat="false" ht="75" hidden="false" customHeight="true" outlineLevel="0" collapsed="false">
      <c r="A9" s="180" t="n">
        <v>4</v>
      </c>
      <c r="B9" s="176" t="s">
        <v>1611</v>
      </c>
      <c r="C9" s="144" t="n">
        <v>6.22</v>
      </c>
      <c r="D9" s="177" t="n">
        <v>6.5</v>
      </c>
      <c r="E9" s="158" t="n">
        <v>1831</v>
      </c>
      <c r="F9" s="158" t="n">
        <v>10357</v>
      </c>
      <c r="G9" s="143" t="s">
        <v>1612</v>
      </c>
    </row>
    <row r="10" customFormat="false" ht="75" hidden="false" customHeight="true" outlineLevel="0" collapsed="false">
      <c r="A10" s="180" t="n">
        <v>5</v>
      </c>
      <c r="B10" s="176" t="s">
        <v>1613</v>
      </c>
      <c r="C10" s="144" t="n">
        <v>6.14</v>
      </c>
      <c r="D10" s="177" t="n">
        <v>6.2</v>
      </c>
      <c r="E10" s="158" t="n">
        <v>1264</v>
      </c>
      <c r="F10" s="158" t="n">
        <v>7657</v>
      </c>
      <c r="G10" s="143" t="s">
        <v>1614</v>
      </c>
    </row>
    <row r="11" customFormat="false" ht="75" hidden="false" customHeight="true" outlineLevel="0" collapsed="false">
      <c r="A11" s="180" t="n">
        <v>6</v>
      </c>
      <c r="B11" s="176" t="s">
        <v>1615</v>
      </c>
      <c r="C11" s="144" t="n">
        <v>6.19</v>
      </c>
      <c r="D11" s="177" t="n">
        <v>6.8</v>
      </c>
      <c r="E11" s="158" t="n">
        <v>807</v>
      </c>
      <c r="F11" s="158" t="n">
        <v>5950</v>
      </c>
      <c r="G11" s="143" t="s">
        <v>1616</v>
      </c>
    </row>
    <row r="13" customFormat="false" ht="15" hidden="false" customHeight="false" outlineLevel="0" collapsed="false">
      <c r="A13" s="145" t="s">
        <v>1617</v>
      </c>
      <c r="B13" s="145"/>
      <c r="C13" s="145"/>
      <c r="D13" s="145"/>
      <c r="E13" s="145"/>
      <c r="F13" s="145"/>
      <c r="G13" s="145"/>
      <c r="H13" s="145"/>
    </row>
    <row r="14" customFormat="false" ht="27.75" hidden="false" customHeight="true" outlineLevel="0" collapsed="false">
      <c r="A14" s="181" t="s">
        <v>1618</v>
      </c>
      <c r="B14" s="181"/>
      <c r="C14" s="181"/>
      <c r="D14" s="181"/>
      <c r="E14" s="181"/>
      <c r="F14" s="181"/>
      <c r="G14" s="181"/>
      <c r="H14" s="181"/>
    </row>
    <row r="16" customFormat="false" ht="27.75" hidden="false" customHeight="true" outlineLevel="0" collapsed="false">
      <c r="A16" s="182" t="s">
        <v>1619</v>
      </c>
      <c r="B16" s="182"/>
      <c r="C16" s="182"/>
      <c r="D16" s="182"/>
      <c r="E16" s="182"/>
      <c r="F16" s="182"/>
      <c r="G16" s="182"/>
      <c r="H16" s="182"/>
    </row>
    <row r="17" customFormat="false" ht="27.75" hidden="false" customHeight="true" outlineLevel="0" collapsed="false">
      <c r="A17" s="183" t="s">
        <v>1620</v>
      </c>
      <c r="B17" s="183"/>
      <c r="C17" s="183"/>
      <c r="D17" s="183"/>
      <c r="E17" s="183"/>
      <c r="F17" s="183"/>
      <c r="G17" s="183"/>
      <c r="H17" s="183"/>
    </row>
    <row r="18" customFormat="false" ht="31.5" hidden="false" customHeight="true" outlineLevel="0" collapsed="false">
      <c r="A18" s="184" t="s">
        <v>1621</v>
      </c>
      <c r="B18" s="184"/>
      <c r="C18" s="184"/>
      <c r="D18" s="184"/>
      <c r="E18" s="184"/>
      <c r="F18" s="184"/>
      <c r="G18" s="184"/>
      <c r="H18" s="184"/>
    </row>
    <row r="19" customFormat="false" ht="31.5" hidden="false" customHeight="true" outlineLevel="0" collapsed="false">
      <c r="A19" s="184" t="s">
        <v>1622</v>
      </c>
      <c r="B19" s="184"/>
      <c r="C19" s="184"/>
      <c r="D19" s="184"/>
      <c r="E19" s="184"/>
      <c r="F19" s="184"/>
      <c r="G19" s="184"/>
      <c r="H19" s="184"/>
    </row>
    <row r="20" customFormat="false" ht="31.5" hidden="false" customHeight="true" outlineLevel="0" collapsed="false">
      <c r="A20" s="185" t="s">
        <v>1623</v>
      </c>
      <c r="B20" s="185"/>
      <c r="C20" s="185"/>
      <c r="D20" s="185"/>
      <c r="E20" s="185"/>
      <c r="F20" s="185"/>
      <c r="G20" s="185"/>
      <c r="H20" s="185"/>
    </row>
    <row r="21" customFormat="false" ht="27.75" hidden="false" customHeight="true" outlineLevel="0" collapsed="false">
      <c r="A21" s="183" t="s">
        <v>1624</v>
      </c>
      <c r="B21" s="183"/>
      <c r="C21" s="183"/>
      <c r="D21" s="183"/>
      <c r="E21" s="183"/>
      <c r="F21" s="183"/>
      <c r="G21" s="183"/>
      <c r="H21" s="183"/>
    </row>
    <row r="22" customFormat="false" ht="27.75" hidden="false" customHeight="true" outlineLevel="0" collapsed="false">
      <c r="A22" s="182" t="s">
        <v>1625</v>
      </c>
      <c r="B22" s="182"/>
      <c r="C22" s="182"/>
      <c r="D22" s="182"/>
      <c r="E22" s="182"/>
      <c r="F22" s="182"/>
      <c r="G22" s="182"/>
      <c r="H22" s="182"/>
    </row>
    <row r="23" customFormat="false" ht="31.5" hidden="false" customHeight="true" outlineLevel="0" collapsed="false">
      <c r="A23" s="186" t="s">
        <v>1626</v>
      </c>
      <c r="B23" s="186"/>
      <c r="C23" s="186"/>
      <c r="D23" s="186"/>
      <c r="E23" s="186"/>
      <c r="F23" s="186"/>
      <c r="G23" s="186"/>
      <c r="H23" s="186"/>
    </row>
    <row r="24" customFormat="false" ht="31.5" hidden="false" customHeight="true" outlineLevel="0" collapsed="false">
      <c r="A24" s="186" t="s">
        <v>1627</v>
      </c>
      <c r="B24" s="186"/>
      <c r="C24" s="186"/>
      <c r="D24" s="186"/>
      <c r="E24" s="186"/>
      <c r="F24" s="186"/>
      <c r="G24" s="186"/>
      <c r="H24" s="186"/>
    </row>
    <row r="25" customFormat="false" ht="31.5" hidden="false" customHeight="true" outlineLevel="0" collapsed="false">
      <c r="A25" s="186" t="s">
        <v>1628</v>
      </c>
      <c r="B25" s="186"/>
      <c r="C25" s="186"/>
      <c r="D25" s="186"/>
      <c r="E25" s="186"/>
      <c r="F25" s="186"/>
      <c r="G25" s="186"/>
      <c r="H25" s="186"/>
    </row>
    <row r="27" customFormat="false" ht="17.35" hidden="false" customHeight="false" outlineLevel="0" collapsed="false">
      <c r="A27" s="187" t="s">
        <v>1629</v>
      </c>
      <c r="B27" s="187"/>
      <c r="C27" s="187"/>
      <c r="D27" s="187"/>
      <c r="E27" s="187"/>
      <c r="F27" s="187"/>
      <c r="G27" s="187"/>
      <c r="H27" s="187"/>
    </row>
    <row r="28" customFormat="false" ht="180" hidden="false" customHeight="true" outlineLevel="0" collapsed="false">
      <c r="A28" s="188" t="s">
        <v>1630</v>
      </c>
      <c r="B28" s="188"/>
      <c r="C28" s="188"/>
      <c r="D28" s="188"/>
      <c r="E28" s="188"/>
      <c r="F28" s="188"/>
      <c r="G28" s="188"/>
      <c r="H28" s="188"/>
    </row>
  </sheetData>
  <mergeCells count="17">
    <mergeCell ref="A1:H1"/>
    <mergeCell ref="A2:H2"/>
    <mergeCell ref="A4:H4"/>
    <mergeCell ref="A13:H13"/>
    <mergeCell ref="A14:H14"/>
    <mergeCell ref="A16:H16"/>
    <mergeCell ref="A17:H17"/>
    <mergeCell ref="A18:H18"/>
    <mergeCell ref="A19:H19"/>
    <mergeCell ref="A20:H20"/>
    <mergeCell ref="A21:H21"/>
    <mergeCell ref="A22:H22"/>
    <mergeCell ref="A23:H23"/>
    <mergeCell ref="A24:H24"/>
    <mergeCell ref="A25:H25"/>
    <mergeCell ref="A27:H27"/>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2026-02-15T01:29:49Z</dcterms:created>
  <dc:creator>openpyxl</dc:creator>
  <dc:description/>
  <dc:language>en-US</dc:language>
  <cp:lastModifiedBy/>
  <dcterms:modified xsi:type="dcterms:W3CDTF">2026-02-15T14:13:52Z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